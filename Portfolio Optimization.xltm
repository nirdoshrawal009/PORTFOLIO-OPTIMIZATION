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nis\Desktop\"/>
    </mc:Choice>
  </mc:AlternateContent>
  <xr:revisionPtr revIDLastSave="0" documentId="13_ncr:1_{48FA2BE7-AD6C-4109-929C-983DB409BF80}" xr6:coauthVersionLast="47" xr6:coauthVersionMax="47" xr10:uidLastSave="{00000000-0000-0000-0000-000000000000}"/>
  <bookViews>
    <workbookView xWindow="-108" yWindow="-108" windowWidth="23256" windowHeight="12576" activeTab="3" xr2:uid="{CC773A2F-C12F-43C4-937B-5A80557E8E84}"/>
  </bookViews>
  <sheets>
    <sheet name="3_Stocks &amp; Their SD" sheetId="1" r:id="rId1"/>
    <sheet name="Binomial Option Pricing Model" sheetId="2" r:id="rId2"/>
    <sheet name="Black Scholes Model" sheetId="3" r:id="rId3"/>
    <sheet name="Delta &amp; Implied Volatility" sheetId="4" r:id="rId4"/>
  </sheets>
  <functionGroups builtInGroupCount="19"/>
  <definedNames>
    <definedName name="solver_adj" localSheetId="3" hidden="1">'Delta &amp; Implied Volatility'!$B$5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'Delta &amp; Implied Volatility'!$B$5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1</definedName>
    <definedName name="solver_nwt" localSheetId="3" hidden="1">1</definedName>
    <definedName name="solver_opt" localSheetId="3" hidden="1">'Delta &amp; Implied Volatility'!$H$12</definedName>
    <definedName name="solver_pre" localSheetId="3" hidden="1">0.000001</definedName>
    <definedName name="solver_rbv" localSheetId="3" hidden="1">1</definedName>
    <definedName name="solver_rel1" localSheetId="3" hidden="1">3</definedName>
    <definedName name="solver_rhs1" localSheetId="3" hidden="1">0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2</definedName>
    <definedName name="solver_val" localSheetId="3" hidden="1">45.45</definedName>
    <definedName name="solver_ver" localSheetId="3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3" i="4" l="1"/>
  <c r="B11" i="4"/>
  <c r="B23" i="4" s="1"/>
  <c r="D5" i="3"/>
  <c r="C5" i="3"/>
  <c r="B5" i="3"/>
  <c r="C13" i="3"/>
  <c r="D13" i="3"/>
  <c r="C11" i="3"/>
  <c r="C15" i="3" s="1"/>
  <c r="D11" i="3"/>
  <c r="D14" i="3" s="1"/>
  <c r="B13" i="3"/>
  <c r="B11" i="3"/>
  <c r="B23" i="3" s="1"/>
  <c r="H4" i="2"/>
  <c r="C7" i="2" s="1"/>
  <c r="H5" i="2"/>
  <c r="D7" i="2" s="1"/>
  <c r="H3" i="2"/>
  <c r="B7" i="2" s="1"/>
  <c r="R6" i="2"/>
  <c r="D14" i="2"/>
  <c r="N6" i="2"/>
  <c r="C14" i="2"/>
  <c r="B14" i="2"/>
  <c r="J6" i="2"/>
  <c r="J8" i="1"/>
  <c r="J7" i="1"/>
  <c r="J6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2" i="1"/>
  <c r="D24" i="2"/>
  <c r="C24" i="2"/>
  <c r="B24" i="2"/>
  <c r="B14" i="4" l="1"/>
  <c r="B15" i="4"/>
  <c r="B22" i="4"/>
  <c r="D15" i="3"/>
  <c r="D16" i="3" s="1"/>
  <c r="D17" i="3" s="1"/>
  <c r="D11" i="2"/>
  <c r="D12" i="2" s="1"/>
  <c r="D16" i="2" s="1"/>
  <c r="D17" i="2" s="1"/>
  <c r="D22" i="3"/>
  <c r="D23" i="3"/>
  <c r="C23" i="3"/>
  <c r="C22" i="3"/>
  <c r="C14" i="3"/>
  <c r="C16" i="3" s="1"/>
  <c r="C18" i="3" s="1"/>
  <c r="B14" i="3"/>
  <c r="B15" i="3"/>
  <c r="B22" i="3"/>
  <c r="B11" i="2"/>
  <c r="B12" i="2" s="1"/>
  <c r="K7" i="2" s="1"/>
  <c r="L8" i="2" s="1"/>
  <c r="L16" i="2" s="1"/>
  <c r="C11" i="2"/>
  <c r="O5" i="2" s="1"/>
  <c r="P4" i="2" s="1"/>
  <c r="K8" i="1"/>
  <c r="K7" i="1"/>
  <c r="K6" i="1"/>
  <c r="B16" i="4" l="1"/>
  <c r="B18" i="4" s="1"/>
  <c r="H14" i="4" s="1"/>
  <c r="S5" i="2"/>
  <c r="T6" i="2" s="1"/>
  <c r="S7" i="2"/>
  <c r="T8" i="2" s="1"/>
  <c r="T16" i="2" s="1"/>
  <c r="D18" i="3"/>
  <c r="J15" i="3" s="1"/>
  <c r="D20" i="3"/>
  <c r="I15" i="3"/>
  <c r="I13" i="3"/>
  <c r="C20" i="3"/>
  <c r="C17" i="3"/>
  <c r="C21" i="3" s="1"/>
  <c r="D21" i="3"/>
  <c r="D19" i="3"/>
  <c r="B16" i="3"/>
  <c r="B18" i="3" s="1"/>
  <c r="C12" i="2"/>
  <c r="O7" i="2" s="1"/>
  <c r="P8" i="2" s="1"/>
  <c r="K5" i="2"/>
  <c r="L4" i="2" s="1"/>
  <c r="L12" i="2" s="1"/>
  <c r="P12" i="2"/>
  <c r="P21" i="2"/>
  <c r="L25" i="2"/>
  <c r="B16" i="2"/>
  <c r="B17" i="2" s="1"/>
  <c r="B20" i="4" l="1"/>
  <c r="B17" i="4"/>
  <c r="B21" i="4" s="1"/>
  <c r="T4" i="2"/>
  <c r="T12" i="2" s="1"/>
  <c r="J9" i="3"/>
  <c r="T25" i="2"/>
  <c r="J11" i="3"/>
  <c r="J13" i="3"/>
  <c r="I11" i="3"/>
  <c r="P6" i="2"/>
  <c r="P14" i="2" s="1"/>
  <c r="C19" i="3"/>
  <c r="I9" i="3" s="1"/>
  <c r="H15" i="3"/>
  <c r="H13" i="3"/>
  <c r="B17" i="3"/>
  <c r="B19" i="3" s="1"/>
  <c r="H9" i="3" s="1"/>
  <c r="B20" i="3"/>
  <c r="C16" i="2"/>
  <c r="C17" i="2" s="1"/>
  <c r="T14" i="2"/>
  <c r="S15" i="2" s="1"/>
  <c r="T23" i="2"/>
  <c r="L6" i="2"/>
  <c r="L23" i="2" s="1"/>
  <c r="L21" i="2"/>
  <c r="P16" i="2"/>
  <c r="P25" i="2"/>
  <c r="B19" i="4" l="1"/>
  <c r="H10" i="4" s="1"/>
  <c r="H12" i="4" s="1"/>
  <c r="T21" i="2"/>
  <c r="S22" i="2" s="1"/>
  <c r="S24" i="2"/>
  <c r="S13" i="2"/>
  <c r="R14" i="2" s="1"/>
  <c r="O15" i="2"/>
  <c r="O13" i="2"/>
  <c r="P23" i="2"/>
  <c r="O22" i="2" s="1"/>
  <c r="B21" i="3"/>
  <c r="H11" i="3" s="1"/>
  <c r="L14" i="2"/>
  <c r="K15" i="2" s="1"/>
  <c r="K22" i="2"/>
  <c r="K24" i="2"/>
  <c r="R23" i="2" l="1"/>
  <c r="N14" i="2"/>
  <c r="O24" i="2"/>
  <c r="N23" i="2" s="1"/>
  <c r="K13" i="2"/>
  <c r="J14" i="2" s="1"/>
  <c r="J23" i="2"/>
</calcChain>
</file>

<file path=xl/sharedStrings.xml><?xml version="1.0" encoding="utf-8"?>
<sst xmlns="http://schemas.openxmlformats.org/spreadsheetml/2006/main" count="111" uniqueCount="61">
  <si>
    <t>MSFT</t>
  </si>
  <si>
    <t>AMZN</t>
  </si>
  <si>
    <t>Date</t>
  </si>
  <si>
    <t>VARIANCE</t>
  </si>
  <si>
    <t>STANDARD DEVIATION</t>
  </si>
  <si>
    <t>Binomial Option Pricing Model (European Options)</t>
  </si>
  <si>
    <t>Strike Price (K)</t>
  </si>
  <si>
    <t>Time to Maturity (in years) (T)</t>
  </si>
  <si>
    <t>Number of Steps (n)</t>
  </si>
  <si>
    <r>
      <t>Option Type (</t>
    </r>
    <r>
      <rPr>
        <b/>
        <sz val="11"/>
        <color theme="1"/>
        <rFont val="Calibri"/>
        <family val="2"/>
        <scheme val="minor"/>
      </rPr>
      <t>CALL</t>
    </r>
    <r>
      <rPr>
        <sz val="11"/>
        <color theme="1"/>
        <rFont val="Calibri"/>
        <family val="2"/>
        <scheme val="minor"/>
      </rPr>
      <t xml:space="preserve"> or </t>
    </r>
    <r>
      <rPr>
        <b/>
        <sz val="11"/>
        <color theme="1"/>
        <rFont val="Calibri"/>
        <family val="2"/>
        <scheme val="minor"/>
      </rPr>
      <t>PUT</t>
    </r>
    <r>
      <rPr>
        <sz val="11"/>
        <color theme="1"/>
        <rFont val="Calibri"/>
        <family val="2"/>
        <scheme val="minor"/>
      </rPr>
      <t>)</t>
    </r>
  </si>
  <si>
    <t>AAPL</t>
  </si>
  <si>
    <t>AAPL_R</t>
  </si>
  <si>
    <t>MSFT_R</t>
  </si>
  <si>
    <t>AMZN_R</t>
  </si>
  <si>
    <t>Down Factor (d)</t>
  </si>
  <si>
    <t>Up factor (u)</t>
  </si>
  <si>
    <t xml:space="preserve">dt </t>
  </si>
  <si>
    <t>CALL</t>
  </si>
  <si>
    <t>European Call Option</t>
  </si>
  <si>
    <t>Risk Neutral Probability (p)</t>
  </si>
  <si>
    <t>1-p</t>
  </si>
  <si>
    <t>Volatility ( σ) (Daily)</t>
  </si>
  <si>
    <t>European Put Option</t>
  </si>
  <si>
    <t>Option Price using Excel VBA</t>
  </si>
  <si>
    <t>Volatility ( σ) (Annual)</t>
  </si>
  <si>
    <t xml:space="preserve">Annual Risk Free Rate (rf) </t>
  </si>
  <si>
    <t xml:space="preserve">Annual Volatility  ( σ) </t>
  </si>
  <si>
    <t>Black Scholes Option Pricing Model</t>
  </si>
  <si>
    <t>Stock Price(S0)</t>
  </si>
  <si>
    <t>Time to Maturity (in Years)</t>
  </si>
  <si>
    <t>Number of Days to expiration</t>
  </si>
  <si>
    <t xml:space="preserve">Number of trading days in the year </t>
  </si>
  <si>
    <t>𝜎√𝑡</t>
  </si>
  <si>
    <t xml:space="preserve">Annual Risk Free Rate </t>
  </si>
  <si>
    <t>(𝑟−𝑞+1/2 𝜎^2 )𝑡</t>
  </si>
  <si>
    <t>d1</t>
  </si>
  <si>
    <t>d2</t>
  </si>
  <si>
    <t>N(d1)</t>
  </si>
  <si>
    <t>N(d2)</t>
  </si>
  <si>
    <t>N(-d1)</t>
  </si>
  <si>
    <t>N(-d2)</t>
  </si>
  <si>
    <t>exp(-rt)</t>
  </si>
  <si>
    <t>exp(-qt)</t>
  </si>
  <si>
    <t>Stock Price  (S0)</t>
  </si>
  <si>
    <t>Strike Price  (K)</t>
  </si>
  <si>
    <t>ln(S0/K)</t>
  </si>
  <si>
    <t>Annual Volatility (𝜎)</t>
  </si>
  <si>
    <t>Annual Dividend Yeild (q)</t>
  </si>
  <si>
    <t xml:space="preserve">CALL OPTION </t>
  </si>
  <si>
    <t>PUT OPTION</t>
  </si>
  <si>
    <t>DELTA CALL</t>
  </si>
  <si>
    <t xml:space="preserve">DELTA PUT </t>
  </si>
  <si>
    <t>Implied Volatility (𝜎)</t>
  </si>
  <si>
    <t xml:space="preserve">Call Option price by BlackScholes </t>
  </si>
  <si>
    <t xml:space="preserve">Call Option price in Market </t>
  </si>
  <si>
    <t>Number of Days to expiration(T-t)</t>
  </si>
  <si>
    <t>Inputs</t>
  </si>
  <si>
    <t xml:space="preserve">Minimize the difference </t>
  </si>
  <si>
    <t>Delta(t)</t>
  </si>
  <si>
    <t xml:space="preserve">Number of Steps for Binomial Model </t>
  </si>
  <si>
    <t>AMAZON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</si>
</sst>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9" formatCode="0.00000"/>
    <numFmt numFmtId="170" formatCode="0.0000"/>
    <numFmt numFmtId="171" formatCode="0.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Arial Black"/>
      <family val="2"/>
    </font>
    <font>
      <b/>
      <u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6">
    <xf numFmtId="0" fontId="0" fillId="0" borderId="0" xfId="0"/>
    <xf numFmtId="0" fontId="0" fillId="2" borderId="0" xfId="0" applyFill="1"/>
    <xf numFmtId="14" fontId="0" fillId="2" borderId="0" xfId="0" applyNumberFormat="1" applyFill="1"/>
    <xf numFmtId="0" fontId="0" fillId="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" borderId="0" xfId="0" applyFill="1" applyAlignment="1">
      <alignment horizontal="right"/>
    </xf>
    <xf numFmtId="170" fontId="0" fillId="0" borderId="0" xfId="0" applyNumberFormat="1"/>
    <xf numFmtId="0" fontId="1" fillId="0" borderId="0" xfId="0" applyFont="1"/>
    <xf numFmtId="0" fontId="1" fillId="0" borderId="0" xfId="0" applyFont="1" applyBorder="1"/>
    <xf numFmtId="0" fontId="0" fillId="3" borderId="0" xfId="0" applyFill="1"/>
    <xf numFmtId="0" fontId="0" fillId="0" borderId="0" xfId="0" applyBorder="1"/>
    <xf numFmtId="0" fontId="1" fillId="0" borderId="2" xfId="0" applyFont="1" applyBorder="1"/>
    <xf numFmtId="0" fontId="0" fillId="0" borderId="2" xfId="0" applyBorder="1"/>
    <xf numFmtId="0" fontId="0" fillId="0" borderId="0" xfId="0" applyFill="1"/>
    <xf numFmtId="0" fontId="0" fillId="0" borderId="0" xfId="0" applyNumberFormat="1" applyFill="1"/>
    <xf numFmtId="10" fontId="0" fillId="0" borderId="0" xfId="0" applyNumberFormat="1" applyFill="1"/>
    <xf numFmtId="9" fontId="0" fillId="0" borderId="0" xfId="0" applyNumberFormat="1" applyFill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0" fillId="6" borderId="3" xfId="0" applyFill="1" applyBorder="1"/>
    <xf numFmtId="0" fontId="0" fillId="6" borderId="6" xfId="0" applyFill="1" applyBorder="1"/>
    <xf numFmtId="0" fontId="0" fillId="6" borderId="8" xfId="0" applyFill="1" applyBorder="1"/>
    <xf numFmtId="0" fontId="0" fillId="4" borderId="3" xfId="0" applyFill="1" applyBorder="1"/>
    <xf numFmtId="0" fontId="0" fillId="4" borderId="6" xfId="0" applyFill="1" applyBorder="1"/>
    <xf numFmtId="0" fontId="0" fillId="4" borderId="8" xfId="0" applyFill="1" applyBorder="1"/>
    <xf numFmtId="0" fontId="0" fillId="7" borderId="3" xfId="0" applyFill="1" applyBorder="1"/>
    <xf numFmtId="0" fontId="0" fillId="7" borderId="6" xfId="0" applyFill="1" applyBorder="1"/>
    <xf numFmtId="0" fontId="0" fillId="7" borderId="8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 applyAlignment="1">
      <alignment horizontal="right"/>
    </xf>
    <xf numFmtId="0" fontId="0" fillId="3" borderId="8" xfId="0" applyFill="1" applyBorder="1" applyAlignment="1">
      <alignment horizontal="right"/>
    </xf>
    <xf numFmtId="0" fontId="1" fillId="0" borderId="6" xfId="0" applyFont="1" applyBorder="1"/>
    <xf numFmtId="0" fontId="1" fillId="0" borderId="7" xfId="0" applyFont="1" applyBorder="1"/>
    <xf numFmtId="0" fontId="0" fillId="8" borderId="6" xfId="0" applyFill="1" applyBorder="1"/>
    <xf numFmtId="0" fontId="0" fillId="8" borderId="0" xfId="0" applyFill="1" applyBorder="1"/>
    <xf numFmtId="0" fontId="0" fillId="8" borderId="7" xfId="0" applyFill="1" applyBorder="1"/>
    <xf numFmtId="0" fontId="1" fillId="3" borderId="13" xfId="0" applyFont="1" applyFill="1" applyBorder="1"/>
    <xf numFmtId="0" fontId="1" fillId="3" borderId="1" xfId="0" applyFont="1" applyFill="1" applyBorder="1"/>
    <xf numFmtId="0" fontId="1" fillId="3" borderId="14" xfId="0" applyFont="1" applyFill="1" applyBorder="1"/>
    <xf numFmtId="0" fontId="0" fillId="3" borderId="6" xfId="0" applyFill="1" applyBorder="1"/>
    <xf numFmtId="0" fontId="0" fillId="3" borderId="0" xfId="0" applyFill="1" applyBorder="1"/>
    <xf numFmtId="0" fontId="0" fillId="3" borderId="7" xfId="0" applyFill="1" applyBorder="1"/>
    <xf numFmtId="0" fontId="1" fillId="9" borderId="1" xfId="0" applyFont="1" applyFill="1" applyBorder="1"/>
    <xf numFmtId="0" fontId="1" fillId="9" borderId="13" xfId="0" applyFont="1" applyFill="1" applyBorder="1"/>
    <xf numFmtId="0" fontId="1" fillId="9" borderId="14" xfId="0" applyFont="1" applyFill="1" applyBorder="1"/>
    <xf numFmtId="0" fontId="0" fillId="9" borderId="6" xfId="0" applyFill="1" applyBorder="1"/>
    <xf numFmtId="0" fontId="0" fillId="9" borderId="0" xfId="0" applyFill="1" applyBorder="1"/>
    <xf numFmtId="0" fontId="0" fillId="9" borderId="7" xfId="0" applyFill="1" applyBorder="1"/>
    <xf numFmtId="0" fontId="0" fillId="9" borderId="8" xfId="0" applyFill="1" applyBorder="1"/>
    <xf numFmtId="0" fontId="0" fillId="9" borderId="2" xfId="0" applyFill="1" applyBorder="1"/>
    <xf numFmtId="0" fontId="0" fillId="9" borderId="9" xfId="0" applyFill="1" applyBorder="1"/>
    <xf numFmtId="0" fontId="1" fillId="5" borderId="2" xfId="0" applyFont="1" applyFill="1" applyBorder="1"/>
    <xf numFmtId="0" fontId="1" fillId="8" borderId="10" xfId="0" applyFont="1" applyFill="1" applyBorder="1"/>
    <xf numFmtId="0" fontId="1" fillId="8" borderId="11" xfId="0" applyFont="1" applyFill="1" applyBorder="1"/>
    <xf numFmtId="0" fontId="1" fillId="8" borderId="12" xfId="0" applyFont="1" applyFill="1" applyBorder="1"/>
    <xf numFmtId="0" fontId="1" fillId="3" borderId="0" xfId="0" applyFont="1" applyFill="1" applyBorder="1"/>
    <xf numFmtId="0" fontId="1" fillId="9" borderId="0" xfId="0" applyFont="1" applyFill="1" applyBorder="1"/>
    <xf numFmtId="0" fontId="1" fillId="8" borderId="3" xfId="0" applyFont="1" applyFill="1" applyBorder="1"/>
    <xf numFmtId="0" fontId="1" fillId="8" borderId="4" xfId="0" applyFont="1" applyFill="1" applyBorder="1"/>
    <xf numFmtId="0" fontId="1" fillId="8" borderId="5" xfId="0" applyFont="1" applyFill="1" applyBorder="1"/>
    <xf numFmtId="0" fontId="1" fillId="3" borderId="6" xfId="0" applyFont="1" applyFill="1" applyBorder="1"/>
    <xf numFmtId="0" fontId="1" fillId="3" borderId="7" xfId="0" applyFont="1" applyFill="1" applyBorder="1"/>
    <xf numFmtId="0" fontId="1" fillId="9" borderId="6" xfId="0" applyFont="1" applyFill="1" applyBorder="1"/>
    <xf numFmtId="0" fontId="1" fillId="9" borderId="7" xfId="0" applyFont="1" applyFill="1" applyBorder="1"/>
    <xf numFmtId="0" fontId="0" fillId="0" borderId="0" xfId="0" applyFill="1" applyBorder="1"/>
    <xf numFmtId="0" fontId="0" fillId="0" borderId="3" xfId="0" applyFill="1" applyBorder="1"/>
    <xf numFmtId="0" fontId="0" fillId="4" borderId="4" xfId="0" applyFill="1" applyBorder="1"/>
    <xf numFmtId="0" fontId="0" fillId="4" borderId="5" xfId="0" applyFill="1" applyBorder="1"/>
    <xf numFmtId="0" fontId="2" fillId="0" borderId="2" xfId="0" applyFont="1" applyBorder="1"/>
    <xf numFmtId="0" fontId="0" fillId="0" borderId="2" xfId="0" applyFont="1" applyBorder="1"/>
    <xf numFmtId="0" fontId="0" fillId="6" borderId="6" xfId="0" applyFill="1" applyBorder="1" applyAlignment="1">
      <alignment horizontal="right"/>
    </xf>
    <xf numFmtId="0" fontId="0" fillId="6" borderId="8" xfId="0" applyFill="1" applyBorder="1" applyAlignment="1">
      <alignment horizontal="right"/>
    </xf>
    <xf numFmtId="0" fontId="0" fillId="6" borderId="0" xfId="0" applyFill="1"/>
    <xf numFmtId="0" fontId="0" fillId="7" borderId="3" xfId="0" applyFill="1" applyBorder="1" applyAlignment="1">
      <alignment horizontal="right"/>
    </xf>
    <xf numFmtId="0" fontId="0" fillId="7" borderId="6" xfId="0" applyFill="1" applyBorder="1" applyAlignment="1">
      <alignment horizontal="right"/>
    </xf>
    <xf numFmtId="170" fontId="0" fillId="0" borderId="7" xfId="0" applyNumberFormat="1" applyBorder="1"/>
    <xf numFmtId="0" fontId="0" fillId="7" borderId="8" xfId="0" applyFill="1" applyBorder="1" applyAlignment="1">
      <alignment horizontal="right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8" xfId="0" applyFill="1" applyBorder="1"/>
    <xf numFmtId="0" fontId="0" fillId="10" borderId="4" xfId="0" applyFill="1" applyBorder="1"/>
    <xf numFmtId="0" fontId="0" fillId="10" borderId="5" xfId="0" applyFill="1" applyBorder="1"/>
    <xf numFmtId="0" fontId="0" fillId="10" borderId="0" xfId="0" applyNumberFormat="1" applyFill="1" applyBorder="1"/>
    <xf numFmtId="0" fontId="0" fillId="10" borderId="7" xfId="0" applyNumberFormat="1" applyFill="1" applyBorder="1"/>
    <xf numFmtId="10" fontId="0" fillId="10" borderId="0" xfId="0" applyNumberFormat="1" applyFill="1" applyBorder="1"/>
    <xf numFmtId="10" fontId="0" fillId="10" borderId="7" xfId="0" applyNumberFormat="1" applyFill="1" applyBorder="1"/>
    <xf numFmtId="9" fontId="0" fillId="10" borderId="0" xfId="0" applyNumberFormat="1" applyFill="1" applyBorder="1"/>
    <xf numFmtId="9" fontId="0" fillId="10" borderId="7" xfId="0" applyNumberFormat="1" applyFill="1" applyBorder="1"/>
    <xf numFmtId="0" fontId="0" fillId="10" borderId="0" xfId="0" applyFill="1" applyBorder="1"/>
    <xf numFmtId="0" fontId="0" fillId="10" borderId="7" xfId="0" applyFill="1" applyBorder="1"/>
    <xf numFmtId="0" fontId="0" fillId="10" borderId="2" xfId="0" applyFill="1" applyBorder="1"/>
    <xf numFmtId="0" fontId="0" fillId="10" borderId="9" xfId="0" applyFill="1" applyBorder="1"/>
    <xf numFmtId="170" fontId="0" fillId="10" borderId="0" xfId="0" applyNumberFormat="1" applyFill="1" applyBorder="1"/>
    <xf numFmtId="170" fontId="0" fillId="10" borderId="7" xfId="0" applyNumberFormat="1" applyFill="1" applyBorder="1"/>
    <xf numFmtId="10" fontId="0" fillId="10" borderId="2" xfId="0" applyNumberFormat="1" applyFill="1" applyBorder="1"/>
    <xf numFmtId="10" fontId="0" fillId="10" borderId="9" xfId="0" applyNumberFormat="1" applyFill="1" applyBorder="1"/>
    <xf numFmtId="171" fontId="0" fillId="10" borderId="4" xfId="0" applyNumberFormat="1" applyFill="1" applyBorder="1"/>
    <xf numFmtId="171" fontId="0" fillId="10" borderId="0" xfId="0" applyNumberFormat="1" applyFill="1" applyBorder="1"/>
    <xf numFmtId="0" fontId="0" fillId="10" borderId="3" xfId="0" applyFill="1" applyBorder="1"/>
    <xf numFmtId="169" fontId="0" fillId="10" borderId="8" xfId="0" applyNumberFormat="1" applyFill="1" applyBorder="1"/>
    <xf numFmtId="0" fontId="0" fillId="10" borderId="0" xfId="0" applyFill="1" applyAlignment="1">
      <alignment horizontal="right"/>
    </xf>
    <xf numFmtId="0" fontId="3" fillId="0" borderId="3" xfId="0" applyFont="1" applyBorder="1"/>
    <xf numFmtId="0" fontId="0" fillId="6" borderId="6" xfId="0" applyFill="1" applyBorder="1" applyAlignment="1">
      <alignment horizontal="left"/>
    </xf>
    <xf numFmtId="0" fontId="0" fillId="6" borderId="8" xfId="0" applyFill="1" applyBorder="1" applyAlignment="1">
      <alignment horizontal="left"/>
    </xf>
    <xf numFmtId="0" fontId="1" fillId="5" borderId="5" xfId="0" applyFont="1" applyFill="1" applyBorder="1"/>
    <xf numFmtId="0" fontId="0" fillId="11" borderId="7" xfId="0" applyFill="1" applyBorder="1"/>
    <xf numFmtId="0" fontId="0" fillId="11" borderId="7" xfId="0" applyNumberFormat="1" applyFill="1" applyBorder="1"/>
    <xf numFmtId="10" fontId="0" fillId="11" borderId="7" xfId="0" applyNumberFormat="1" applyFill="1" applyBorder="1"/>
    <xf numFmtId="9" fontId="0" fillId="11" borderId="7" xfId="0" applyNumberFormat="1" applyFill="1" applyBorder="1"/>
    <xf numFmtId="0" fontId="0" fillId="11" borderId="9" xfId="0" applyFill="1" applyBorder="1"/>
    <xf numFmtId="0" fontId="0" fillId="11" borderId="5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61CA6-2F22-4CC6-9BAF-E2B9B687BF41}">
  <sheetPr codeName="Sheet1"/>
  <dimension ref="A1:K43"/>
  <sheetViews>
    <sheetView workbookViewId="0">
      <selection activeCell="A45" sqref="A45"/>
    </sheetView>
  </sheetViews>
  <sheetFormatPr defaultRowHeight="14.4" x14ac:dyDescent="0.3"/>
  <cols>
    <col min="1" max="1" width="12.44140625" style="1" customWidth="1"/>
    <col min="3" max="3" width="8.88671875" style="1"/>
    <col min="5" max="5" width="9.88671875" style="1" customWidth="1"/>
    <col min="7" max="7" width="8.88671875" style="1"/>
    <col min="10" max="10" width="15.21875" customWidth="1"/>
    <col min="11" max="11" width="19.77734375" customWidth="1"/>
  </cols>
  <sheetData>
    <row r="1" spans="1:11" x14ac:dyDescent="0.3">
      <c r="A1" s="3" t="s">
        <v>2</v>
      </c>
      <c r="B1" s="3" t="s">
        <v>10</v>
      </c>
      <c r="C1" s="3" t="s">
        <v>0</v>
      </c>
      <c r="D1" s="3" t="s">
        <v>1</v>
      </c>
      <c r="E1" s="3" t="s">
        <v>11</v>
      </c>
      <c r="F1" s="3" t="s">
        <v>12</v>
      </c>
      <c r="G1" s="3" t="s">
        <v>13</v>
      </c>
    </row>
    <row r="2" spans="1:11" x14ac:dyDescent="0.3">
      <c r="A2" s="2">
        <v>44659</v>
      </c>
      <c r="B2">
        <v>170.08999600000001</v>
      </c>
      <c r="C2" s="1">
        <v>296.97000100000002</v>
      </c>
      <c r="D2">
        <v>3089.209961</v>
      </c>
      <c r="E2" s="1">
        <f>LN(B2/B3)</f>
        <v>-1.1980408203064737E-2</v>
      </c>
      <c r="F2">
        <f>LN(C2/C3)</f>
        <v>-1.4707602179342113E-2</v>
      </c>
      <c r="G2" s="1">
        <f>LN(D2/D3)</f>
        <v>-2.1291771693582678E-2</v>
      </c>
    </row>
    <row r="3" spans="1:11" x14ac:dyDescent="0.3">
      <c r="A3" s="2">
        <v>44658</v>
      </c>
      <c r="B3">
        <v>172.13999899999999</v>
      </c>
      <c r="C3" s="1">
        <v>301.36999500000002</v>
      </c>
      <c r="D3">
        <v>3155.6899410000001</v>
      </c>
      <c r="E3" s="1">
        <f t="shared" ref="E3:E43" si="0">LN(B3/B4)</f>
        <v>1.8024658140384417E-3</v>
      </c>
      <c r="F3">
        <f t="shared" ref="F3:F43" si="1">LN(C3/C4)</f>
        <v>6.2243115910073418E-3</v>
      </c>
      <c r="G3" s="1">
        <f t="shared" ref="G3:G43" si="2">LN(D3/D4)</f>
        <v>-6.1383098942595447E-3</v>
      </c>
    </row>
    <row r="4" spans="1:11" x14ac:dyDescent="0.3">
      <c r="A4" s="2">
        <v>44657</v>
      </c>
      <c r="B4">
        <v>171.83000200000001</v>
      </c>
      <c r="C4" s="1">
        <v>299.5</v>
      </c>
      <c r="D4">
        <v>3175.1201169999999</v>
      </c>
      <c r="E4" s="1">
        <f t="shared" si="0"/>
        <v>-1.8623133281572765E-2</v>
      </c>
      <c r="F4">
        <f t="shared" si="1"/>
        <v>-3.7292584157001901E-2</v>
      </c>
      <c r="G4" s="1">
        <f t="shared" si="2"/>
        <v>-3.2833298140161893E-2</v>
      </c>
    </row>
    <row r="5" spans="1:11" x14ac:dyDescent="0.3">
      <c r="A5" s="2">
        <v>44656</v>
      </c>
      <c r="B5">
        <v>175.05999800000001</v>
      </c>
      <c r="C5" s="1">
        <v>310.88000499999998</v>
      </c>
      <c r="D5">
        <v>3281.1000979999999</v>
      </c>
      <c r="E5" s="1">
        <f t="shared" si="0"/>
        <v>-1.9123660588675699E-2</v>
      </c>
      <c r="F5">
        <f t="shared" si="1"/>
        <v>-1.3070397657359281E-2</v>
      </c>
      <c r="G5" s="1">
        <f t="shared" si="2"/>
        <v>-2.5822567850407339E-2</v>
      </c>
      <c r="I5" s="4"/>
      <c r="J5" s="5" t="s">
        <v>3</v>
      </c>
      <c r="K5" s="5" t="s">
        <v>4</v>
      </c>
    </row>
    <row r="6" spans="1:11" x14ac:dyDescent="0.3">
      <c r="A6" s="2">
        <v>44655</v>
      </c>
      <c r="B6">
        <v>178.44000199999999</v>
      </c>
      <c r="C6" s="1">
        <v>314.97000100000002</v>
      </c>
      <c r="D6">
        <v>3366.929932</v>
      </c>
      <c r="E6" s="1">
        <f t="shared" si="0"/>
        <v>2.3417109715350153E-2</v>
      </c>
      <c r="F6">
        <f t="shared" si="1"/>
        <v>1.7777780064852727E-2</v>
      </c>
      <c r="G6" s="1">
        <f t="shared" si="2"/>
        <v>2.8844454656508697E-2</v>
      </c>
      <c r="I6" s="3" t="s">
        <v>10</v>
      </c>
      <c r="J6" s="105">
        <f>_xlfn.VAR.P(E2:E42)</f>
        <v>3.3512857534568512E-4</v>
      </c>
      <c r="K6" s="105">
        <f>SQRT(J6)</f>
        <v>1.830651729154634E-2</v>
      </c>
    </row>
    <row r="7" spans="1:11" x14ac:dyDescent="0.3">
      <c r="A7" s="2">
        <v>44652</v>
      </c>
      <c r="B7">
        <v>174.30999800000001</v>
      </c>
      <c r="C7" s="1">
        <v>309.42001299999998</v>
      </c>
      <c r="D7">
        <v>3271.1999510000001</v>
      </c>
      <c r="E7" s="1">
        <f t="shared" si="0"/>
        <v>-1.7196095081220323E-3</v>
      </c>
      <c r="F7">
        <f t="shared" si="1"/>
        <v>3.5938554868985223E-3</v>
      </c>
      <c r="G7" s="1">
        <f t="shared" si="2"/>
        <v>3.4450322823043901E-3</v>
      </c>
      <c r="I7" s="3" t="s">
        <v>0</v>
      </c>
      <c r="J7" s="105">
        <f>_xlfn.VAR.P(F2:F42)</f>
        <v>4.3235899571547734E-4</v>
      </c>
      <c r="K7" s="105">
        <f>SQRT(J7)</f>
        <v>2.0793243992111413E-2</v>
      </c>
    </row>
    <row r="8" spans="1:11" x14ac:dyDescent="0.3">
      <c r="A8" s="2">
        <v>44651</v>
      </c>
      <c r="B8">
        <v>174.61000100000001</v>
      </c>
      <c r="C8" s="1">
        <v>308.30999800000001</v>
      </c>
      <c r="D8">
        <v>3259.9499510000001</v>
      </c>
      <c r="E8" s="1">
        <f t="shared" si="0"/>
        <v>-1.793568117449321E-2</v>
      </c>
      <c r="F8">
        <f t="shared" si="1"/>
        <v>-1.784121500045038E-2</v>
      </c>
      <c r="G8" s="1">
        <f t="shared" si="2"/>
        <v>-2.0064557188175097E-2</v>
      </c>
      <c r="I8" s="3" t="s">
        <v>1</v>
      </c>
      <c r="J8" s="105">
        <f>_xlfn.VAR.P(G2:G42)</f>
        <v>5.9370534443743618E-4</v>
      </c>
      <c r="K8" s="105">
        <f>SQRT(J8)</f>
        <v>2.4366069531983121E-2</v>
      </c>
    </row>
    <row r="9" spans="1:11" x14ac:dyDescent="0.3">
      <c r="A9" s="2">
        <v>44650</v>
      </c>
      <c r="B9">
        <v>177.770004</v>
      </c>
      <c r="C9" s="1">
        <v>313.85998499999999</v>
      </c>
      <c r="D9">
        <v>3326.0200199999999</v>
      </c>
      <c r="E9" s="1">
        <f t="shared" si="0"/>
        <v>-6.6717538611811393E-3</v>
      </c>
      <c r="F9">
        <f t="shared" si="1"/>
        <v>-4.9264136601125854E-3</v>
      </c>
      <c r="G9" s="1">
        <f t="shared" si="2"/>
        <v>-1.7961494379435391E-2</v>
      </c>
    </row>
    <row r="10" spans="1:11" x14ac:dyDescent="0.3">
      <c r="A10" s="2">
        <v>44649</v>
      </c>
      <c r="B10">
        <v>178.96000699999999</v>
      </c>
      <c r="C10" s="1">
        <v>315.41000400000001</v>
      </c>
      <c r="D10">
        <v>3386.3000489999999</v>
      </c>
      <c r="E10" s="1">
        <f t="shared" si="0"/>
        <v>1.8953640927178765E-2</v>
      </c>
      <c r="F10">
        <f t="shared" si="1"/>
        <v>1.5045537457210479E-2</v>
      </c>
      <c r="G10" s="1">
        <f t="shared" si="2"/>
        <v>1.918382020621426E-3</v>
      </c>
    </row>
    <row r="11" spans="1:11" x14ac:dyDescent="0.3">
      <c r="A11" s="2">
        <v>44648</v>
      </c>
      <c r="B11">
        <v>175.60000600000001</v>
      </c>
      <c r="C11" s="1">
        <v>310.70001200000002</v>
      </c>
      <c r="D11">
        <v>3379.8100589999999</v>
      </c>
      <c r="E11" s="1">
        <f t="shared" si="0"/>
        <v>5.0240170895972987E-3</v>
      </c>
      <c r="F11">
        <f t="shared" si="1"/>
        <v>2.2853362650483197E-2</v>
      </c>
      <c r="G11" s="1">
        <f t="shared" si="2"/>
        <v>2.5270723007236873E-2</v>
      </c>
    </row>
    <row r="12" spans="1:11" x14ac:dyDescent="0.3">
      <c r="A12" s="2">
        <v>44645</v>
      </c>
      <c r="B12">
        <v>174.720001</v>
      </c>
      <c r="C12" s="1">
        <v>303.67999300000002</v>
      </c>
      <c r="D12">
        <v>3295.469971</v>
      </c>
      <c r="E12" s="1">
        <f t="shared" si="0"/>
        <v>3.7271409016591118E-3</v>
      </c>
      <c r="F12">
        <f t="shared" si="1"/>
        <v>-1.3821220426873634E-3</v>
      </c>
      <c r="G12" s="1">
        <f t="shared" si="2"/>
        <v>6.8448521884119495E-3</v>
      </c>
    </row>
    <row r="13" spans="1:11" x14ac:dyDescent="0.3">
      <c r="A13" s="2">
        <v>44644</v>
      </c>
      <c r="B13">
        <v>174.070007</v>
      </c>
      <c r="C13" s="1">
        <v>304.10000600000001</v>
      </c>
      <c r="D13">
        <v>3272.98999</v>
      </c>
      <c r="E13" s="1">
        <f t="shared" si="0"/>
        <v>2.2424547432775173E-2</v>
      </c>
      <c r="F13">
        <f t="shared" si="1"/>
        <v>1.5275619787324305E-2</v>
      </c>
      <c r="G13" s="1">
        <f t="shared" si="2"/>
        <v>1.4768286769882208E-3</v>
      </c>
    </row>
    <row r="14" spans="1:11" x14ac:dyDescent="0.3">
      <c r="A14" s="2">
        <v>44643</v>
      </c>
      <c r="B14">
        <v>170.21000699999999</v>
      </c>
      <c r="C14" s="1">
        <v>299.48998999999998</v>
      </c>
      <c r="D14">
        <v>3268.1599120000001</v>
      </c>
      <c r="E14" s="1">
        <f t="shared" si="0"/>
        <v>8.1999099256944846E-3</v>
      </c>
      <c r="F14">
        <f t="shared" si="1"/>
        <v>-1.5144049148694405E-2</v>
      </c>
      <c r="G14" s="1">
        <f t="shared" si="2"/>
        <v>-9.0224151298448092E-3</v>
      </c>
    </row>
    <row r="15" spans="1:11" x14ac:dyDescent="0.3">
      <c r="A15" s="2">
        <v>44642</v>
      </c>
      <c r="B15">
        <v>168.820007</v>
      </c>
      <c r="C15" s="1">
        <v>304.05999800000001</v>
      </c>
      <c r="D15">
        <v>3297.780029</v>
      </c>
      <c r="E15" s="1">
        <f t="shared" si="0"/>
        <v>2.0587213492432494E-2</v>
      </c>
      <c r="F15">
        <f t="shared" si="1"/>
        <v>1.624648308080253E-2</v>
      </c>
      <c r="G15" s="1">
        <f t="shared" si="2"/>
        <v>2.0819995190570005E-2</v>
      </c>
    </row>
    <row r="16" spans="1:11" x14ac:dyDescent="0.3">
      <c r="A16" s="2">
        <v>44641</v>
      </c>
      <c r="B16">
        <v>165.38000500000001</v>
      </c>
      <c r="C16" s="1">
        <v>299.16000400000001</v>
      </c>
      <c r="D16">
        <v>3229.830078</v>
      </c>
      <c r="E16" s="1">
        <f t="shared" si="0"/>
        <v>8.501441752609409E-3</v>
      </c>
      <c r="F16">
        <f t="shared" si="1"/>
        <v>-4.2361977536508463E-3</v>
      </c>
      <c r="G16" s="1">
        <f t="shared" si="2"/>
        <v>1.4934743015174278E-3</v>
      </c>
    </row>
    <row r="17" spans="1:7" x14ac:dyDescent="0.3">
      <c r="A17" s="2">
        <v>44638</v>
      </c>
      <c r="B17">
        <v>163.979996</v>
      </c>
      <c r="C17" s="1">
        <v>300.42999300000002</v>
      </c>
      <c r="D17">
        <v>3225.01001</v>
      </c>
      <c r="E17" s="1">
        <f t="shared" si="0"/>
        <v>2.0703149143870645E-2</v>
      </c>
      <c r="F17">
        <f t="shared" si="1"/>
        <v>1.7493913951734032E-2</v>
      </c>
      <c r="G17" s="1">
        <f t="shared" si="2"/>
        <v>2.5192109496876329E-2</v>
      </c>
    </row>
    <row r="18" spans="1:7" x14ac:dyDescent="0.3">
      <c r="A18" s="2">
        <v>44637</v>
      </c>
      <c r="B18">
        <v>160.61999499999999</v>
      </c>
      <c r="C18" s="1">
        <v>295.22000100000002</v>
      </c>
      <c r="D18">
        <v>3144.780029</v>
      </c>
      <c r="E18" s="1">
        <f t="shared" si="0"/>
        <v>6.4332942840742086E-3</v>
      </c>
      <c r="F18">
        <f t="shared" si="1"/>
        <v>2.8153746568268323E-3</v>
      </c>
      <c r="G18" s="1">
        <f t="shared" si="2"/>
        <v>2.6649495540369772E-2</v>
      </c>
    </row>
    <row r="19" spans="1:7" x14ac:dyDescent="0.3">
      <c r="A19" s="2">
        <v>44636</v>
      </c>
      <c r="B19">
        <v>159.58999600000001</v>
      </c>
      <c r="C19" s="1">
        <v>294.39001500000001</v>
      </c>
      <c r="D19">
        <v>3062.080078</v>
      </c>
      <c r="E19" s="1">
        <f t="shared" si="0"/>
        <v>2.8602433566982357E-2</v>
      </c>
      <c r="F19">
        <f t="shared" si="1"/>
        <v>2.4900763424025672E-2</v>
      </c>
      <c r="G19" s="1">
        <f t="shared" si="2"/>
        <v>3.8194746847554126E-2</v>
      </c>
    </row>
    <row r="20" spans="1:7" x14ac:dyDescent="0.3">
      <c r="A20" s="2">
        <v>44635</v>
      </c>
      <c r="B20">
        <v>155.08999600000001</v>
      </c>
      <c r="C20" s="1">
        <v>287.14999399999999</v>
      </c>
      <c r="D20">
        <v>2947.330078</v>
      </c>
      <c r="E20" s="1">
        <f t="shared" si="0"/>
        <v>2.9245492302803055E-2</v>
      </c>
      <c r="F20">
        <f t="shared" si="1"/>
        <v>3.8010899957266031E-2</v>
      </c>
      <c r="G20" s="1">
        <f t="shared" si="2"/>
        <v>3.8131376733673193E-2</v>
      </c>
    </row>
    <row r="21" spans="1:7" x14ac:dyDescent="0.3">
      <c r="A21" s="2">
        <v>44634</v>
      </c>
      <c r="B21">
        <v>150.61999499999999</v>
      </c>
      <c r="C21" s="1">
        <v>276.44000199999999</v>
      </c>
      <c r="D21">
        <v>2837.0600589999999</v>
      </c>
      <c r="E21" s="1">
        <f t="shared" si="0"/>
        <v>-2.6921561173015317E-2</v>
      </c>
      <c r="F21">
        <f t="shared" si="1"/>
        <v>-1.3045790460171628E-2</v>
      </c>
      <c r="G21" s="1">
        <f t="shared" si="2"/>
        <v>-2.555312295172156E-2</v>
      </c>
    </row>
    <row r="22" spans="1:7" x14ac:dyDescent="0.3">
      <c r="A22" s="2">
        <v>44631</v>
      </c>
      <c r="B22">
        <v>154.729996</v>
      </c>
      <c r="C22" s="1">
        <v>280.07000699999998</v>
      </c>
      <c r="D22">
        <v>2910.48999</v>
      </c>
      <c r="E22" s="1">
        <f t="shared" si="0"/>
        <v>-2.4199156905545322E-2</v>
      </c>
      <c r="F22">
        <f t="shared" si="1"/>
        <v>-1.9517604922521574E-2</v>
      </c>
      <c r="G22" s="1">
        <f t="shared" si="2"/>
        <v>-8.8458983792401163E-3</v>
      </c>
    </row>
    <row r="23" spans="1:7" x14ac:dyDescent="0.3">
      <c r="A23" s="2">
        <v>44630</v>
      </c>
      <c r="B23">
        <v>158.520004</v>
      </c>
      <c r="C23" s="1">
        <v>285.58999599999999</v>
      </c>
      <c r="D23">
        <v>2936.3500979999999</v>
      </c>
      <c r="E23" s="1">
        <f t="shared" si="0"/>
        <v>-2.7562593317371986E-2</v>
      </c>
      <c r="F23">
        <f t="shared" si="1"/>
        <v>-1.0137884107424534E-2</v>
      </c>
      <c r="G23" s="1">
        <f t="shared" si="2"/>
        <v>5.2711208605748724E-2</v>
      </c>
    </row>
    <row r="24" spans="1:7" x14ac:dyDescent="0.3">
      <c r="A24" s="2">
        <v>44629</v>
      </c>
      <c r="B24">
        <v>162.949997</v>
      </c>
      <c r="C24" s="1">
        <v>288.5</v>
      </c>
      <c r="D24">
        <v>2785.580078</v>
      </c>
      <c r="E24" s="1">
        <f t="shared" si="0"/>
        <v>3.4398940865819724E-2</v>
      </c>
      <c r="F24">
        <f t="shared" si="1"/>
        <v>4.4837824478763125E-2</v>
      </c>
      <c r="G24" s="1">
        <f t="shared" si="2"/>
        <v>2.371763161721353E-2</v>
      </c>
    </row>
    <row r="25" spans="1:7" x14ac:dyDescent="0.3">
      <c r="A25" s="2">
        <v>44628</v>
      </c>
      <c r="B25">
        <v>157.44000199999999</v>
      </c>
      <c r="C25" s="1">
        <v>275.85000600000001</v>
      </c>
      <c r="D25">
        <v>2720.290039</v>
      </c>
      <c r="E25" s="1">
        <f t="shared" si="0"/>
        <v>-1.1744789741199227E-2</v>
      </c>
      <c r="F25">
        <f t="shared" si="1"/>
        <v>-1.1031902008028916E-2</v>
      </c>
      <c r="G25" s="1">
        <f t="shared" si="2"/>
        <v>-1.0520549916978145E-2</v>
      </c>
    </row>
    <row r="26" spans="1:7" x14ac:dyDescent="0.3">
      <c r="A26" s="2">
        <v>44627</v>
      </c>
      <c r="B26">
        <v>159.300003</v>
      </c>
      <c r="C26" s="1">
        <v>278.91000400000001</v>
      </c>
      <c r="D26">
        <v>2749.0600589999999</v>
      </c>
      <c r="E26" s="1">
        <f t="shared" si="0"/>
        <v>-2.4003354097429406E-2</v>
      </c>
      <c r="F26">
        <f t="shared" si="1"/>
        <v>-3.8508832567828652E-2</v>
      </c>
      <c r="G26" s="1">
        <f t="shared" si="2"/>
        <v>-5.7862650920733082E-2</v>
      </c>
    </row>
    <row r="27" spans="1:7" x14ac:dyDescent="0.3">
      <c r="A27" s="2">
        <v>44624</v>
      </c>
      <c r="B27">
        <v>163.16999799999999</v>
      </c>
      <c r="C27" s="1">
        <v>289.85998499999999</v>
      </c>
      <c r="D27">
        <v>2912.820068</v>
      </c>
      <c r="E27" s="1">
        <f t="shared" si="0"/>
        <v>-1.8579757638498711E-2</v>
      </c>
      <c r="F27">
        <f t="shared" si="1"/>
        <v>-2.0691195409740921E-2</v>
      </c>
      <c r="G27" s="1">
        <f t="shared" si="2"/>
        <v>-1.5381504999201769E-2</v>
      </c>
    </row>
    <row r="28" spans="1:7" x14ac:dyDescent="0.3">
      <c r="A28" s="2">
        <v>44623</v>
      </c>
      <c r="B28">
        <v>166.229996</v>
      </c>
      <c r="C28" s="1">
        <v>295.92001299999998</v>
      </c>
      <c r="D28">
        <v>2957.969971</v>
      </c>
      <c r="E28" s="1">
        <f t="shared" si="0"/>
        <v>-1.9832453746512812E-3</v>
      </c>
      <c r="F28">
        <f t="shared" si="1"/>
        <v>-1.4326422726075122E-2</v>
      </c>
      <c r="G28" s="1">
        <f t="shared" si="2"/>
        <v>-2.7699654187470141E-2</v>
      </c>
    </row>
    <row r="29" spans="1:7" x14ac:dyDescent="0.3">
      <c r="A29" s="2">
        <v>44622</v>
      </c>
      <c r="B29">
        <v>166.55999800000001</v>
      </c>
      <c r="C29" s="1">
        <v>300.19000199999999</v>
      </c>
      <c r="D29">
        <v>3041.0500489999999</v>
      </c>
      <c r="E29" s="1">
        <f t="shared" si="0"/>
        <v>2.0379168711320225E-2</v>
      </c>
      <c r="F29">
        <f t="shared" si="1"/>
        <v>1.760972304711932E-2</v>
      </c>
      <c r="G29" s="1">
        <f t="shared" si="2"/>
        <v>6.0060506799015281E-3</v>
      </c>
    </row>
    <row r="30" spans="1:7" x14ac:dyDescent="0.3">
      <c r="A30" s="2">
        <v>44621</v>
      </c>
      <c r="B30">
        <v>163.199997</v>
      </c>
      <c r="C30" s="1">
        <v>294.95001200000002</v>
      </c>
      <c r="D30">
        <v>3022.8400879999999</v>
      </c>
      <c r="E30" s="1">
        <f t="shared" si="0"/>
        <v>-1.169602786453618E-2</v>
      </c>
      <c r="F30">
        <f t="shared" si="1"/>
        <v>-1.2935124484025234E-2</v>
      </c>
      <c r="G30" s="1">
        <f t="shared" si="2"/>
        <v>-1.5891088154303824E-2</v>
      </c>
    </row>
    <row r="31" spans="1:7" x14ac:dyDescent="0.3">
      <c r="A31" s="2">
        <v>44620</v>
      </c>
      <c r="B31">
        <v>165.11999499999999</v>
      </c>
      <c r="C31" s="1">
        <v>298.790009</v>
      </c>
      <c r="D31">
        <v>3071.26001</v>
      </c>
      <c r="E31" s="1">
        <f t="shared" si="0"/>
        <v>1.6364460977258781E-3</v>
      </c>
      <c r="F31">
        <f t="shared" si="1"/>
        <v>4.9656568487293226E-3</v>
      </c>
      <c r="G31" s="1">
        <f t="shared" si="2"/>
        <v>-1.4673788113074527E-3</v>
      </c>
    </row>
    <row r="32" spans="1:7" x14ac:dyDescent="0.3">
      <c r="A32" s="2">
        <v>44617</v>
      </c>
      <c r="B32">
        <v>164.85000600000001</v>
      </c>
      <c r="C32" s="1">
        <v>297.30999800000001</v>
      </c>
      <c r="D32">
        <v>3075.7700199999999</v>
      </c>
      <c r="E32" s="1">
        <f t="shared" si="0"/>
        <v>1.2882139922099075E-2</v>
      </c>
      <c r="F32">
        <f t="shared" si="1"/>
        <v>9.1908132263234729E-3</v>
      </c>
      <c r="G32" s="1">
        <f t="shared" si="2"/>
        <v>1.59304257311918E-2</v>
      </c>
    </row>
    <row r="33" spans="1:7" x14ac:dyDescent="0.3">
      <c r="A33" s="2">
        <v>44616</v>
      </c>
      <c r="B33">
        <v>162.740005</v>
      </c>
      <c r="C33" s="1">
        <v>294.58999599999999</v>
      </c>
      <c r="D33">
        <v>3027.1599120000001</v>
      </c>
      <c r="E33" s="1">
        <f t="shared" si="0"/>
        <v>1.6542602702891727E-2</v>
      </c>
      <c r="F33">
        <f t="shared" si="1"/>
        <v>4.9831160532057356E-2</v>
      </c>
      <c r="G33" s="1">
        <f t="shared" si="2"/>
        <v>4.4107922493374883E-2</v>
      </c>
    </row>
    <row r="34" spans="1:7" x14ac:dyDescent="0.3">
      <c r="A34" s="2">
        <v>44615</v>
      </c>
      <c r="B34">
        <v>160.070007</v>
      </c>
      <c r="C34" s="1">
        <v>280.26998900000001</v>
      </c>
      <c r="D34">
        <v>2896.540039</v>
      </c>
      <c r="E34" s="1">
        <f t="shared" si="0"/>
        <v>-2.620452549057949E-2</v>
      </c>
      <c r="F34">
        <f t="shared" si="1"/>
        <v>-2.62344034638964E-2</v>
      </c>
      <c r="G34" s="1">
        <f t="shared" si="2"/>
        <v>-3.6411138283536218E-2</v>
      </c>
    </row>
    <row r="35" spans="1:7" x14ac:dyDescent="0.3">
      <c r="A35" s="2">
        <v>44614</v>
      </c>
      <c r="B35">
        <v>164.320007</v>
      </c>
      <c r="C35" s="1">
        <v>287.72000100000002</v>
      </c>
      <c r="D35">
        <v>3003.9499510000001</v>
      </c>
      <c r="E35" s="1">
        <f t="shared" si="0"/>
        <v>-1.7972837144584655E-2</v>
      </c>
      <c r="F35">
        <f t="shared" si="1"/>
        <v>-7.2958225138003777E-4</v>
      </c>
      <c r="G35" s="1">
        <f t="shared" si="2"/>
        <v>-1.5878879518217287E-2</v>
      </c>
    </row>
    <row r="36" spans="1:7" x14ac:dyDescent="0.3">
      <c r="A36" s="2">
        <v>44610</v>
      </c>
      <c r="B36">
        <v>167.300003</v>
      </c>
      <c r="C36" s="1">
        <v>287.92999300000002</v>
      </c>
      <c r="D36">
        <v>3052.030029</v>
      </c>
      <c r="E36" s="1">
        <f t="shared" si="0"/>
        <v>-9.3998072222491336E-3</v>
      </c>
      <c r="F36">
        <f t="shared" si="1"/>
        <v>-9.677668524223363E-3</v>
      </c>
      <c r="G36" s="1">
        <f t="shared" si="2"/>
        <v>-1.3350722453625051E-2</v>
      </c>
    </row>
    <row r="37" spans="1:7" x14ac:dyDescent="0.3">
      <c r="A37" s="2">
        <v>44609</v>
      </c>
      <c r="B37">
        <v>168.88000500000001</v>
      </c>
      <c r="C37" s="1">
        <v>290.73001099999999</v>
      </c>
      <c r="D37">
        <v>3093.0500489999999</v>
      </c>
      <c r="E37" s="1">
        <f t="shared" si="0"/>
        <v>-2.1498633783390952E-2</v>
      </c>
      <c r="F37">
        <f t="shared" si="1"/>
        <v>-2.9719378305143804E-2</v>
      </c>
      <c r="G37" s="1">
        <f t="shared" si="2"/>
        <v>-2.2050229550850366E-2</v>
      </c>
    </row>
    <row r="38" spans="1:7" x14ac:dyDescent="0.3">
      <c r="A38" s="2">
        <v>44608</v>
      </c>
      <c r="B38">
        <v>172.550003</v>
      </c>
      <c r="C38" s="1">
        <v>299.5</v>
      </c>
      <c r="D38">
        <v>3162.01001</v>
      </c>
      <c r="E38" s="1">
        <f t="shared" si="0"/>
        <v>-1.3898768831488296E-3</v>
      </c>
      <c r="F38">
        <f t="shared" si="1"/>
        <v>-3.2335011535220871E-3</v>
      </c>
      <c r="G38" s="1">
        <f t="shared" si="2"/>
        <v>1.0107822006189756E-2</v>
      </c>
    </row>
    <row r="39" spans="1:7" x14ac:dyDescent="0.3">
      <c r="A39" s="2">
        <v>44607</v>
      </c>
      <c r="B39">
        <v>172.78999300000001</v>
      </c>
      <c r="C39" s="1">
        <v>300.47000100000002</v>
      </c>
      <c r="D39">
        <v>3130.209961</v>
      </c>
      <c r="E39" s="1">
        <f t="shared" si="0"/>
        <v>2.2888510666539828E-2</v>
      </c>
      <c r="F39">
        <f t="shared" si="1"/>
        <v>1.8372562369206244E-2</v>
      </c>
      <c r="G39" s="1">
        <f t="shared" si="2"/>
        <v>8.621103291164639E-3</v>
      </c>
    </row>
    <row r="40" spans="1:7" x14ac:dyDescent="0.3">
      <c r="A40" s="2">
        <v>44606</v>
      </c>
      <c r="B40">
        <v>168.88000500000001</v>
      </c>
      <c r="C40" s="1">
        <v>295</v>
      </c>
      <c r="D40">
        <v>3103.3400879999999</v>
      </c>
      <c r="E40" s="1">
        <f t="shared" si="0"/>
        <v>1.4221737236801188E-3</v>
      </c>
      <c r="F40">
        <f t="shared" si="1"/>
        <v>-1.3561453274707366E-4</v>
      </c>
      <c r="G40" s="1">
        <f t="shared" si="2"/>
        <v>1.2147562011885882E-2</v>
      </c>
    </row>
    <row r="41" spans="1:7" x14ac:dyDescent="0.3">
      <c r="A41" s="2">
        <v>44603</v>
      </c>
      <c r="B41">
        <v>168.63999899999999</v>
      </c>
      <c r="C41" s="1">
        <v>295.040009</v>
      </c>
      <c r="D41">
        <v>3065.8701169999999</v>
      </c>
      <c r="E41" s="1">
        <f t="shared" si="0"/>
        <v>-2.0425619497691946E-2</v>
      </c>
      <c r="F41">
        <f t="shared" si="1"/>
        <v>-2.4573550214973167E-2</v>
      </c>
      <c r="G41" s="1">
        <f t="shared" si="2"/>
        <v>-3.6571813320676202E-2</v>
      </c>
    </row>
    <row r="42" spans="1:7" x14ac:dyDescent="0.3">
      <c r="A42" s="2">
        <v>44602</v>
      </c>
      <c r="B42">
        <v>172.11999499999999</v>
      </c>
      <c r="C42" s="1">
        <v>302.38000499999998</v>
      </c>
      <c r="D42">
        <v>3180.070068</v>
      </c>
      <c r="E42" s="1">
        <f t="shared" si="0"/>
        <v>-2.3881755380094859E-2</v>
      </c>
      <c r="F42">
        <f t="shared" si="1"/>
        <v>-2.8783375457133872E-2</v>
      </c>
      <c r="G42" s="1">
        <f t="shared" si="2"/>
        <v>-1.3654467632439308E-2</v>
      </c>
    </row>
    <row r="43" spans="1:7" x14ac:dyDescent="0.3">
      <c r="A43" s="2">
        <v>44601</v>
      </c>
      <c r="B43">
        <v>176.279999</v>
      </c>
      <c r="C43" s="1">
        <v>311.209991</v>
      </c>
      <c r="D43">
        <v>3223.790039</v>
      </c>
      <c r="E43" s="1" t="e">
        <f t="shared" si="0"/>
        <v>#DIV/0!</v>
      </c>
      <c r="F43" t="e">
        <f t="shared" si="1"/>
        <v>#DIV/0!</v>
      </c>
      <c r="G43" s="1" t="e">
        <f t="shared" si="2"/>
        <v>#DIV/0!</v>
      </c>
    </row>
  </sheetData>
  <sortState xmlns:xlrd2="http://schemas.microsoft.com/office/spreadsheetml/2017/richdata2" ref="A2:G43">
    <sortCondition descending="1" ref="A2:A43"/>
  </sortState>
  <pageMargins left="0.7" right="0.7" top="0.75" bottom="0.75" header="0.3" footer="0.3"/>
  <pageSetup orientation="portrait" r:id="rId1"/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6CBE4-5849-4612-9E47-0A24FF91A578}">
  <sheetPr codeName="Sheet2"/>
  <dimension ref="A1:T25"/>
  <sheetViews>
    <sheetView workbookViewId="0">
      <selection activeCell="F27" sqref="F27"/>
    </sheetView>
  </sheetViews>
  <sheetFormatPr defaultRowHeight="14.4" x14ac:dyDescent="0.3"/>
  <cols>
    <col min="1" max="1" width="31.21875" customWidth="1"/>
    <col min="2" max="2" width="11.88671875" customWidth="1"/>
    <col min="7" max="7" width="19.109375" customWidth="1"/>
    <col min="8" max="8" width="20" customWidth="1"/>
  </cols>
  <sheetData>
    <row r="1" spans="1:20" ht="18" thickBot="1" x14ac:dyDescent="0.5">
      <c r="A1" s="72" t="s">
        <v>5</v>
      </c>
      <c r="B1" s="73"/>
      <c r="C1" s="73"/>
      <c r="D1" s="73"/>
      <c r="J1" s="55" t="s">
        <v>10</v>
      </c>
      <c r="K1" s="55"/>
      <c r="L1" s="55"/>
      <c r="N1" s="55" t="s">
        <v>0</v>
      </c>
      <c r="O1" s="55"/>
      <c r="P1" s="55"/>
      <c r="R1" s="55" t="s">
        <v>1</v>
      </c>
      <c r="S1" s="55"/>
      <c r="T1" s="55"/>
    </row>
    <row r="2" spans="1:20" ht="15" thickBot="1" x14ac:dyDescent="0.35">
      <c r="A2" s="7" t="s">
        <v>56</v>
      </c>
      <c r="B2" s="9" t="s">
        <v>10</v>
      </c>
      <c r="C2" s="9" t="s">
        <v>0</v>
      </c>
      <c r="D2" s="9" t="s">
        <v>1</v>
      </c>
      <c r="F2" s="17"/>
      <c r="G2" s="31" t="s">
        <v>21</v>
      </c>
      <c r="H2" s="32" t="s">
        <v>24</v>
      </c>
      <c r="J2" s="10"/>
      <c r="K2" s="10"/>
      <c r="L2" s="10"/>
    </row>
    <row r="3" spans="1:20" x14ac:dyDescent="0.3">
      <c r="A3" s="22" t="s">
        <v>28</v>
      </c>
      <c r="B3" s="85">
        <v>170.09</v>
      </c>
      <c r="C3" s="85">
        <v>299.16000000000003</v>
      </c>
      <c r="D3" s="86">
        <v>3272.99</v>
      </c>
      <c r="F3" s="33" t="s">
        <v>10</v>
      </c>
      <c r="G3" s="89">
        <v>1.830651729154634E-2</v>
      </c>
      <c r="H3" s="90">
        <f>G3/SQRT(42/252)</f>
        <v>4.4841626331725649E-2</v>
      </c>
      <c r="J3" s="61">
        <v>0</v>
      </c>
      <c r="K3" s="62">
        <v>1</v>
      </c>
      <c r="L3" s="63">
        <v>2</v>
      </c>
      <c r="N3" s="56">
        <v>0</v>
      </c>
      <c r="O3" s="57">
        <v>1</v>
      </c>
      <c r="P3" s="58">
        <v>2</v>
      </c>
      <c r="R3" s="56">
        <v>0</v>
      </c>
      <c r="S3" s="57">
        <v>1</v>
      </c>
      <c r="T3" s="58">
        <v>2</v>
      </c>
    </row>
    <row r="4" spans="1:20" x14ac:dyDescent="0.3">
      <c r="A4" s="23" t="s">
        <v>6</v>
      </c>
      <c r="B4" s="93">
        <v>130</v>
      </c>
      <c r="C4" s="93">
        <v>150</v>
      </c>
      <c r="D4" s="94">
        <v>1400</v>
      </c>
      <c r="F4" s="33" t="s">
        <v>0</v>
      </c>
      <c r="G4" s="89">
        <v>2.0793243992111413E-2</v>
      </c>
      <c r="H4" s="90">
        <f t="shared" ref="H4:H5" si="0">G4/SQRT(42/252)</f>
        <v>5.0932837877864852E-2</v>
      </c>
      <c r="J4" s="37"/>
      <c r="K4" s="38"/>
      <c r="L4" s="39">
        <f>K5*B11</f>
        <v>178.31850292482096</v>
      </c>
      <c r="N4" s="37"/>
      <c r="O4" s="38"/>
      <c r="P4" s="39">
        <f>O5*C11</f>
        <v>311.85684015881588</v>
      </c>
      <c r="R4" s="37"/>
      <c r="S4" s="38"/>
      <c r="T4" s="39">
        <f>S5*D11</f>
        <v>3359.2568815945679</v>
      </c>
    </row>
    <row r="5" spans="1:20" ht="15" thickBot="1" x14ac:dyDescent="0.35">
      <c r="A5" s="23" t="s">
        <v>7</v>
      </c>
      <c r="B5" s="93">
        <v>0.55500000000000005</v>
      </c>
      <c r="C5" s="93">
        <v>0.33300000000000002</v>
      </c>
      <c r="D5" s="94">
        <v>9.5000000000000001E-2</v>
      </c>
      <c r="F5" s="34" t="s">
        <v>1</v>
      </c>
      <c r="G5" s="99">
        <v>2.4366069531983121E-2</v>
      </c>
      <c r="H5" s="100">
        <f t="shared" si="0"/>
        <v>5.9684437390534369E-2</v>
      </c>
      <c r="J5" s="37"/>
      <c r="K5" s="38">
        <f>J6*B11</f>
        <v>174.15566072477461</v>
      </c>
      <c r="L5" s="39"/>
      <c r="N5" s="37"/>
      <c r="O5" s="38">
        <f>N6*C11</f>
        <v>305.44245333926875</v>
      </c>
      <c r="P5" s="39"/>
      <c r="R5" s="37"/>
      <c r="S5" s="38">
        <f>R6*D11</f>
        <v>3315.8429065458158</v>
      </c>
      <c r="T5" s="39"/>
    </row>
    <row r="6" spans="1:20" x14ac:dyDescent="0.3">
      <c r="A6" s="23" t="s">
        <v>25</v>
      </c>
      <c r="B6" s="91">
        <v>0.05</v>
      </c>
      <c r="C6" s="91">
        <v>0.05</v>
      </c>
      <c r="D6" s="92">
        <v>0.05</v>
      </c>
      <c r="J6" s="37">
        <f>B3</f>
        <v>170.09</v>
      </c>
      <c r="K6" s="38"/>
      <c r="L6" s="39">
        <f>K5*B12</f>
        <v>170.09</v>
      </c>
      <c r="N6" s="37">
        <f>C3</f>
        <v>299.16000000000003</v>
      </c>
      <c r="O6" s="38"/>
      <c r="P6" s="39">
        <f>O5*C12</f>
        <v>299.16000000000003</v>
      </c>
      <c r="R6" s="37">
        <f>D3</f>
        <v>3272.99</v>
      </c>
      <c r="S6" s="38"/>
      <c r="T6" s="39">
        <f>S5*D12</f>
        <v>3272.99</v>
      </c>
    </row>
    <row r="7" spans="1:20" x14ac:dyDescent="0.3">
      <c r="A7" s="23" t="s">
        <v>26</v>
      </c>
      <c r="B7" s="89">
        <f>H3</f>
        <v>4.4841626331725649E-2</v>
      </c>
      <c r="C7" s="89">
        <f>H4</f>
        <v>5.0932837877864852E-2</v>
      </c>
      <c r="D7" s="90">
        <f>H5</f>
        <v>5.9684437390534369E-2</v>
      </c>
      <c r="J7" s="37"/>
      <c r="K7" s="38">
        <f>J6*B12</f>
        <v>166.11925205072856</v>
      </c>
      <c r="L7" s="39"/>
      <c r="N7" s="37"/>
      <c r="O7" s="38">
        <f>N6*C12</f>
        <v>293.0067664843956</v>
      </c>
      <c r="P7" s="39"/>
      <c r="R7" s="37"/>
      <c r="S7" s="38">
        <f>R6*D12</f>
        <v>3230.6909108849795</v>
      </c>
      <c r="T7" s="39"/>
    </row>
    <row r="8" spans="1:20" x14ac:dyDescent="0.3">
      <c r="A8" s="23" t="s">
        <v>8</v>
      </c>
      <c r="B8" s="93">
        <v>2</v>
      </c>
      <c r="C8" s="93">
        <v>2</v>
      </c>
      <c r="D8" s="94">
        <v>2</v>
      </c>
      <c r="J8" s="37"/>
      <c r="K8" s="38"/>
      <c r="L8" s="39">
        <f>K7*B12</f>
        <v>162.24120113994641</v>
      </c>
      <c r="N8" s="37"/>
      <c r="O8" s="38"/>
      <c r="P8" s="39">
        <f>O7*C12</f>
        <v>286.98009495133414</v>
      </c>
      <c r="R8" s="37"/>
      <c r="S8" s="38"/>
      <c r="T8" s="39">
        <f>S7*D12</f>
        <v>3188.9384818391804</v>
      </c>
    </row>
    <row r="9" spans="1:20" ht="15" thickBot="1" x14ac:dyDescent="0.35">
      <c r="A9" s="24" t="s">
        <v>9</v>
      </c>
      <c r="B9" s="95" t="s">
        <v>17</v>
      </c>
      <c r="C9" s="95" t="s">
        <v>17</v>
      </c>
      <c r="D9" s="96" t="s">
        <v>17</v>
      </c>
      <c r="J9" s="19"/>
      <c r="K9" s="10"/>
      <c r="L9" s="20"/>
      <c r="N9" s="19"/>
      <c r="O9" s="10"/>
      <c r="P9" s="20"/>
      <c r="R9" s="19"/>
      <c r="S9" s="10"/>
      <c r="T9" s="20"/>
    </row>
    <row r="10" spans="1:20" ht="15" thickBot="1" x14ac:dyDescent="0.35">
      <c r="J10" s="35" t="s">
        <v>18</v>
      </c>
      <c r="K10" s="8"/>
      <c r="L10" s="36"/>
      <c r="N10" s="35" t="s">
        <v>18</v>
      </c>
      <c r="O10" s="8"/>
      <c r="P10" s="36"/>
      <c r="R10" s="35" t="s">
        <v>18</v>
      </c>
      <c r="S10" s="8"/>
      <c r="T10" s="36"/>
    </row>
    <row r="11" spans="1:20" x14ac:dyDescent="0.3">
      <c r="A11" s="28" t="s">
        <v>15</v>
      </c>
      <c r="B11" s="101">
        <f>EXP(B7*SQRT(B14))</f>
        <v>1.0239029967944888</v>
      </c>
      <c r="C11" s="85">
        <f>EXP(C7*SQRT(C14))</f>
        <v>1.0210003120045084</v>
      </c>
      <c r="D11" s="86">
        <f>EXP(D7*SQRT(D14))</f>
        <v>1.0130928925984546</v>
      </c>
      <c r="J11" s="64">
        <v>0</v>
      </c>
      <c r="K11" s="59">
        <v>1</v>
      </c>
      <c r="L11" s="65">
        <v>2</v>
      </c>
      <c r="N11" s="40">
        <v>0</v>
      </c>
      <c r="O11" s="41">
        <v>1</v>
      </c>
      <c r="P11" s="42">
        <v>2</v>
      </c>
      <c r="R11" s="40">
        <v>0</v>
      </c>
      <c r="S11" s="41">
        <v>1</v>
      </c>
      <c r="T11" s="42">
        <v>2</v>
      </c>
    </row>
    <row r="12" spans="1:20" x14ac:dyDescent="0.3">
      <c r="A12" s="29" t="s">
        <v>14</v>
      </c>
      <c r="B12" s="102">
        <f>1/B11</f>
        <v>0.97665501822992862</v>
      </c>
      <c r="C12" s="93">
        <f>1/C11</f>
        <v>0.97943163017915358</v>
      </c>
      <c r="D12" s="94">
        <f>1/D11</f>
        <v>0.98707631581061339</v>
      </c>
      <c r="J12" s="43"/>
      <c r="K12" s="44"/>
      <c r="L12" s="45">
        <f>MAX(0,(L4-$B$4))</f>
        <v>48.318502924820962</v>
      </c>
      <c r="N12" s="43"/>
      <c r="O12" s="44"/>
      <c r="P12" s="45">
        <f>MAX(0,(P4-$C$4))</f>
        <v>161.85684015881588</v>
      </c>
      <c r="R12" s="43"/>
      <c r="S12" s="44"/>
      <c r="T12" s="45">
        <f>MAX(0,(T4-$D$4))</f>
        <v>1959.2568815945679</v>
      </c>
    </row>
    <row r="13" spans="1:20" x14ac:dyDescent="0.3">
      <c r="A13" s="29"/>
      <c r="B13" s="93"/>
      <c r="C13" s="93"/>
      <c r="D13" s="94"/>
      <c r="J13" s="43"/>
      <c r="K13" s="44">
        <f>(L12*$B$16+$B$17*L14)*EXP(-$B$6*$B$14)</f>
        <v>45.946954883961219</v>
      </c>
      <c r="L13" s="45"/>
      <c r="N13" s="43"/>
      <c r="O13" s="44">
        <f>(P12*$C$16+$C$17*P14)*EXP(-$C$6*$C$14)</f>
        <v>156.68601981165645</v>
      </c>
      <c r="P13" s="45"/>
      <c r="R13" s="43"/>
      <c r="S13" s="44">
        <f>(T12*$D$16+$D$17*T14)*EXP(-$D$6*$D$14)</f>
        <v>1919.1639612323074</v>
      </c>
      <c r="T13" s="45"/>
    </row>
    <row r="14" spans="1:20" x14ac:dyDescent="0.3">
      <c r="A14" s="29" t="s">
        <v>16</v>
      </c>
      <c r="B14" s="93">
        <f>B5/B8</f>
        <v>0.27750000000000002</v>
      </c>
      <c r="C14" s="93">
        <f>C5/C8</f>
        <v>0.16650000000000001</v>
      </c>
      <c r="D14" s="94">
        <f>D5/D8</f>
        <v>4.7500000000000001E-2</v>
      </c>
      <c r="J14" s="43">
        <f>(K13*$B$16+$B$17*K15)*EXP(-$B$6*$B$14)</f>
        <v>43.647905743259891</v>
      </c>
      <c r="K14" s="44"/>
      <c r="L14" s="45">
        <f>MAX(0,(L6-$B$4))</f>
        <v>40.090000000000003</v>
      </c>
      <c r="N14" s="43">
        <f>(O13*$C$16+$C$17*O15)*EXP(-$C$6*$C$14)</f>
        <v>151.63682322763378</v>
      </c>
      <c r="O14" s="44"/>
      <c r="P14" s="45">
        <f>MAX(0,(P6-$C$4))</f>
        <v>149.16000000000003</v>
      </c>
      <c r="R14" s="43">
        <f>(S13*$D$16+$D$17*S15)*EXP(-$D$6*$D$14)</f>
        <v>1879.6242312271042</v>
      </c>
      <c r="S14" s="44"/>
      <c r="T14" s="45">
        <f>MAX(0,(T6-$D$4))</f>
        <v>1872.9899999999998</v>
      </c>
    </row>
    <row r="15" spans="1:20" x14ac:dyDescent="0.3">
      <c r="A15" s="29"/>
      <c r="B15" s="93"/>
      <c r="C15" s="93"/>
      <c r="D15" s="94"/>
      <c r="J15" s="43"/>
      <c r="K15" s="44">
        <f>(L14*$B$16+$B$17*L16)*EXP(-$B$6*$B$14)</f>
        <v>37.910546209915189</v>
      </c>
      <c r="L15" s="45"/>
      <c r="N15" s="43"/>
      <c r="O15" s="44">
        <f>(P14*$C$16+$C$17*P16)*EXP(-$C$6*$C$14)</f>
        <v>144.2503329567833</v>
      </c>
      <c r="P15" s="45"/>
      <c r="R15" s="43"/>
      <c r="S15" s="44">
        <f>(T14*$D$16+$D$17*T16)*EXP(-$D$6*$D$14)</f>
        <v>1834.0119655714709</v>
      </c>
      <c r="T15" s="45"/>
    </row>
    <row r="16" spans="1:20" x14ac:dyDescent="0.3">
      <c r="A16" s="29" t="s">
        <v>19</v>
      </c>
      <c r="B16" s="93">
        <f>(EXP(B6*B14)-B12)/(B11-B12)</f>
        <v>0.78980492832133586</v>
      </c>
      <c r="C16" s="93">
        <f>(EXP(C6*C14)-C12)/(C11-C12)</f>
        <v>0.69591138629097415</v>
      </c>
      <c r="D16" s="94">
        <f>(EXP(D6*D14)-D12)/(D11-D12)</f>
        <v>0.58814450727858858</v>
      </c>
      <c r="J16" s="43"/>
      <c r="K16" s="44"/>
      <c r="L16" s="45">
        <f>MAX(0,(L8-$B$4))</f>
        <v>32.241201139946412</v>
      </c>
      <c r="N16" s="43"/>
      <c r="O16" s="44"/>
      <c r="P16" s="45">
        <f>MAX(0,(P8-$C$4))</f>
        <v>136.98009495133414</v>
      </c>
      <c r="R16" s="43"/>
      <c r="S16" s="44"/>
      <c r="T16" s="45">
        <f>MAX(0,(T8-$D$4))</f>
        <v>1788.9384818391804</v>
      </c>
    </row>
    <row r="17" spans="1:20" ht="15" thickBot="1" x14ac:dyDescent="0.35">
      <c r="A17" s="30" t="s">
        <v>20</v>
      </c>
      <c r="B17" s="95">
        <f>1-B16</f>
        <v>0.21019507167866414</v>
      </c>
      <c r="C17" s="95">
        <f>1-C16</f>
        <v>0.30408861370902585</v>
      </c>
      <c r="D17" s="96">
        <f>1-D16</f>
        <v>0.41185549272141142</v>
      </c>
      <c r="J17" s="19"/>
      <c r="K17" s="10"/>
      <c r="L17" s="20"/>
      <c r="N17" s="19"/>
      <c r="O17" s="10"/>
      <c r="P17" s="20"/>
      <c r="R17" s="19"/>
      <c r="S17" s="10"/>
      <c r="T17" s="20"/>
    </row>
    <row r="18" spans="1:20" x14ac:dyDescent="0.3">
      <c r="A18" s="68"/>
      <c r="B18" s="10"/>
      <c r="C18" s="10"/>
      <c r="D18" s="10"/>
      <c r="J18" s="19"/>
      <c r="K18" s="10"/>
      <c r="L18" s="20"/>
      <c r="N18" s="19"/>
      <c r="O18" s="10"/>
      <c r="P18" s="20"/>
      <c r="R18" s="19"/>
      <c r="S18" s="10"/>
      <c r="T18" s="20"/>
    </row>
    <row r="19" spans="1:20" x14ac:dyDescent="0.3">
      <c r="A19" s="68"/>
      <c r="B19" s="10"/>
      <c r="C19" s="10"/>
      <c r="D19" s="10"/>
      <c r="J19" s="35" t="s">
        <v>22</v>
      </c>
      <c r="K19" s="8"/>
      <c r="L19" s="36"/>
      <c r="N19" s="35" t="s">
        <v>22</v>
      </c>
      <c r="O19" s="8"/>
      <c r="P19" s="36"/>
      <c r="R19" s="35" t="s">
        <v>18</v>
      </c>
      <c r="S19" s="8"/>
      <c r="T19" s="36"/>
    </row>
    <row r="20" spans="1:20" x14ac:dyDescent="0.3">
      <c r="A20" s="68"/>
      <c r="B20" s="10"/>
      <c r="C20" s="10"/>
      <c r="D20" s="10"/>
      <c r="J20" s="66">
        <v>0</v>
      </c>
      <c r="K20" s="60">
        <v>1</v>
      </c>
      <c r="L20" s="67">
        <v>2</v>
      </c>
      <c r="N20" s="47">
        <v>0</v>
      </c>
      <c r="O20" s="46">
        <v>1</v>
      </c>
      <c r="P20" s="48">
        <v>2</v>
      </c>
      <c r="R20" s="47">
        <v>0</v>
      </c>
      <c r="S20" s="46">
        <v>1</v>
      </c>
      <c r="T20" s="48">
        <v>2</v>
      </c>
    </row>
    <row r="21" spans="1:20" x14ac:dyDescent="0.3">
      <c r="A21" s="68"/>
      <c r="B21" s="10"/>
      <c r="C21" s="10"/>
      <c r="D21" s="10"/>
      <c r="J21" s="49"/>
      <c r="K21" s="50"/>
      <c r="L21" s="51">
        <f>MAX(0,($B$4-L4))</f>
        <v>0</v>
      </c>
      <c r="N21" s="49"/>
      <c r="O21" s="50"/>
      <c r="P21" s="51">
        <f>MAX(0,($C$4-P4))</f>
        <v>0</v>
      </c>
      <c r="R21" s="49"/>
      <c r="S21" s="50"/>
      <c r="T21" s="51">
        <f>MAX(0,($D$4-T4))</f>
        <v>0</v>
      </c>
    </row>
    <row r="22" spans="1:20" ht="15" thickBot="1" x14ac:dyDescent="0.35">
      <c r="A22" s="68"/>
      <c r="B22" s="10"/>
      <c r="C22" s="10"/>
      <c r="D22" s="10"/>
      <c r="J22" s="49"/>
      <c r="K22" s="50">
        <f>(L21*$B$16+$B$17*L23)*EXP(-$B$6*$B$14)</f>
        <v>0</v>
      </c>
      <c r="L22" s="51"/>
      <c r="N22" s="49"/>
      <c r="O22" s="50">
        <f>(P21*$C$16+$C$17*P23)*EXP(-$C$6*$C$14)</f>
        <v>0</v>
      </c>
      <c r="P22" s="51"/>
      <c r="R22" s="49"/>
      <c r="S22" s="50">
        <f>(T21*$D$16+$D$17*T23)*EXP(-$D$6*$D$14)</f>
        <v>0</v>
      </c>
      <c r="T22" s="51"/>
    </row>
    <row r="23" spans="1:20" x14ac:dyDescent="0.3">
      <c r="A23" s="25" t="s">
        <v>59</v>
      </c>
      <c r="B23" s="103">
        <v>100</v>
      </c>
      <c r="C23" s="85">
        <v>100</v>
      </c>
      <c r="D23" s="86">
        <v>100</v>
      </c>
      <c r="J23" s="49">
        <f>(K22*$B$16+$B$17*K24)*EXP(-$B$6*$B$14)</f>
        <v>0</v>
      </c>
      <c r="K23" s="50"/>
      <c r="L23" s="51">
        <f>MAX(0,($B$4-L6))</f>
        <v>0</v>
      </c>
      <c r="N23" s="49">
        <f>(O22*$C$16+$C$17*O24)*EXP(-$C$6*$C$14)</f>
        <v>0</v>
      </c>
      <c r="O23" s="50"/>
      <c r="P23" s="51">
        <f>MAX(0,($C$4-P6))</f>
        <v>0</v>
      </c>
      <c r="R23" s="49">
        <f>(S22*$D$16+$D$17*S24)*EXP(-$D$6*$D$14)</f>
        <v>0</v>
      </c>
      <c r="S23" s="50"/>
      <c r="T23" s="51">
        <f>MAX(0,($D$4-T6))</f>
        <v>0</v>
      </c>
    </row>
    <row r="24" spans="1:20" ht="15" thickBot="1" x14ac:dyDescent="0.35">
      <c r="A24" s="27" t="s">
        <v>23</v>
      </c>
      <c r="B24" s="104">
        <f>binomEuro(B3,B4,B5,B6,B7,B23,B9)</f>
        <v>43.647905743261525</v>
      </c>
      <c r="C24" s="95">
        <f t="shared" ref="C24:D24" si="1">binomEuro(C3,C4,C5,C6,C7,C23,C9)</f>
        <v>151.63682322763174</v>
      </c>
      <c r="D24" s="96">
        <f t="shared" si="1"/>
        <v>1879.6242312271129</v>
      </c>
      <c r="J24" s="49"/>
      <c r="K24" s="50">
        <f>(L23*$B$16+$B$17*L25)*EXP(-$B$6*$B$14)</f>
        <v>0</v>
      </c>
      <c r="L24" s="51"/>
      <c r="N24" s="49"/>
      <c r="O24" s="50">
        <f>(P23*$C$16+$C$17*P25)*EXP(-$C$6*$C$14)</f>
        <v>0</v>
      </c>
      <c r="P24" s="51"/>
      <c r="R24" s="49"/>
      <c r="S24" s="50">
        <f>(T23*$D$16+$D$17*T25)*EXP(-$D$6*$D$14)</f>
        <v>0</v>
      </c>
      <c r="T24" s="51"/>
    </row>
    <row r="25" spans="1:20" ht="15" thickBot="1" x14ac:dyDescent="0.35">
      <c r="J25" s="52"/>
      <c r="K25" s="53"/>
      <c r="L25" s="54">
        <f>MAX(0,($B$4-L8))</f>
        <v>0</v>
      </c>
      <c r="N25" s="52"/>
      <c r="O25" s="53"/>
      <c r="P25" s="54">
        <f>MAX(0,($C$4-P8))</f>
        <v>0</v>
      </c>
      <c r="R25" s="52"/>
      <c r="S25" s="53"/>
      <c r="T25" s="54">
        <f>MAX(0,($D$4-T8))</f>
        <v>0</v>
      </c>
    </row>
  </sheetData>
  <pageMargins left="0.7" right="0.7" top="0.75" bottom="0.75" header="0.3" footer="0.3"/>
  <pageSetup orientation="portrait" r:id="rId1"/>
  <customProperties>
    <customPr name="LastActive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F7140-E28E-44D9-BCE1-837D133B72BF}">
  <sheetPr codeName="Sheet3"/>
  <dimension ref="A1:J23"/>
  <sheetViews>
    <sheetView workbookViewId="0">
      <selection activeCell="H24" sqref="H24"/>
    </sheetView>
  </sheetViews>
  <sheetFormatPr defaultRowHeight="14.4" x14ac:dyDescent="0.3"/>
  <cols>
    <col min="1" max="1" width="29.44140625" customWidth="1"/>
    <col min="2" max="2" width="9.21875" bestFit="1" customWidth="1"/>
    <col min="7" max="7" width="12.6640625" customWidth="1"/>
    <col min="8" max="8" width="16.5546875" customWidth="1"/>
    <col min="9" max="9" width="18.109375" customWidth="1"/>
  </cols>
  <sheetData>
    <row r="1" spans="1:10" ht="15" thickBot="1" x14ac:dyDescent="0.35">
      <c r="A1" s="11" t="s">
        <v>27</v>
      </c>
      <c r="B1" s="12"/>
      <c r="C1" s="12"/>
      <c r="D1" s="12"/>
    </row>
    <row r="2" spans="1:10" ht="15" thickBot="1" x14ac:dyDescent="0.35">
      <c r="A2" s="7" t="s">
        <v>56</v>
      </c>
      <c r="B2" s="76" t="s">
        <v>10</v>
      </c>
      <c r="C2" s="76" t="s">
        <v>0</v>
      </c>
      <c r="D2" s="76" t="s">
        <v>1</v>
      </c>
      <c r="G2" s="69"/>
      <c r="H2" s="70" t="s">
        <v>21</v>
      </c>
      <c r="I2" s="71" t="s">
        <v>24</v>
      </c>
    </row>
    <row r="3" spans="1:10" x14ac:dyDescent="0.3">
      <c r="A3" s="22" t="s">
        <v>43</v>
      </c>
      <c r="B3" s="85">
        <v>170.09</v>
      </c>
      <c r="C3" s="85">
        <v>299.16000000000003</v>
      </c>
      <c r="D3" s="86">
        <v>3272.99</v>
      </c>
      <c r="G3" s="26" t="s">
        <v>10</v>
      </c>
      <c r="H3" s="93">
        <v>1.830651729154634E-2</v>
      </c>
      <c r="I3" s="94">
        <v>4.4841626331725649E-2</v>
      </c>
    </row>
    <row r="4" spans="1:10" x14ac:dyDescent="0.3">
      <c r="A4" s="23" t="s">
        <v>44</v>
      </c>
      <c r="B4" s="87">
        <v>130</v>
      </c>
      <c r="C4" s="87">
        <v>150</v>
      </c>
      <c r="D4" s="88">
        <v>1400</v>
      </c>
      <c r="G4" s="26" t="s">
        <v>0</v>
      </c>
      <c r="H4" s="93">
        <v>2.0793243992111413E-2</v>
      </c>
      <c r="I4" s="94">
        <v>5.0932837877864852E-2</v>
      </c>
    </row>
    <row r="5" spans="1:10" ht="15" thickBot="1" x14ac:dyDescent="0.35">
      <c r="A5" s="23" t="s">
        <v>46</v>
      </c>
      <c r="B5" s="89">
        <f>I3</f>
        <v>4.4841626331725649E-2</v>
      </c>
      <c r="C5" s="89">
        <f>I4</f>
        <v>5.0932837877864852E-2</v>
      </c>
      <c r="D5" s="90">
        <f>I5</f>
        <v>5.9684437390534369E-2</v>
      </c>
      <c r="G5" s="27" t="s">
        <v>1</v>
      </c>
      <c r="H5" s="95">
        <v>2.4366069531983121E-2</v>
      </c>
      <c r="I5" s="96">
        <v>5.9684437390534369E-2</v>
      </c>
    </row>
    <row r="6" spans="1:10" ht="15" thickBot="1" x14ac:dyDescent="0.35">
      <c r="A6" s="23" t="s">
        <v>33</v>
      </c>
      <c r="B6" s="91">
        <v>0.05</v>
      </c>
      <c r="C6" s="91">
        <v>0.05</v>
      </c>
      <c r="D6" s="92">
        <v>0.05</v>
      </c>
    </row>
    <row r="7" spans="1:10" x14ac:dyDescent="0.3">
      <c r="A7" s="23" t="s">
        <v>47</v>
      </c>
      <c r="B7" s="89">
        <v>0</v>
      </c>
      <c r="C7" s="89">
        <v>0</v>
      </c>
      <c r="D7" s="90">
        <v>0</v>
      </c>
      <c r="G7" s="17"/>
      <c r="H7" s="81" t="s">
        <v>10</v>
      </c>
      <c r="I7" s="81" t="s">
        <v>0</v>
      </c>
      <c r="J7" s="82" t="s">
        <v>1</v>
      </c>
    </row>
    <row r="8" spans="1:10" x14ac:dyDescent="0.3">
      <c r="A8" s="74" t="s">
        <v>30</v>
      </c>
      <c r="B8" s="93">
        <v>140</v>
      </c>
      <c r="C8" s="93">
        <v>84</v>
      </c>
      <c r="D8" s="94">
        <v>24</v>
      </c>
      <c r="G8" s="19"/>
      <c r="H8" s="93"/>
      <c r="I8" s="93"/>
      <c r="J8" s="94"/>
    </row>
    <row r="9" spans="1:10" ht="15" thickBot="1" x14ac:dyDescent="0.35">
      <c r="A9" s="75" t="s">
        <v>31</v>
      </c>
      <c r="B9" s="95">
        <v>252</v>
      </c>
      <c r="C9" s="95">
        <v>252</v>
      </c>
      <c r="D9" s="96">
        <v>252</v>
      </c>
      <c r="G9" s="83" t="s">
        <v>48</v>
      </c>
      <c r="H9" s="93">
        <f>B3*B23*B18-B4*B22*B19</f>
        <v>43.651417974874718</v>
      </c>
      <c r="I9" s="93">
        <f t="shared" ref="I9:J9" si="0">C3*C23*C18-C4*C22*C19</f>
        <v>151.63928192675741</v>
      </c>
      <c r="J9" s="94">
        <f t="shared" si="0"/>
        <v>1879.640818816091</v>
      </c>
    </row>
    <row r="10" spans="1:10" ht="15" thickBot="1" x14ac:dyDescent="0.35">
      <c r="G10" s="83"/>
      <c r="H10" s="93"/>
      <c r="I10" s="93"/>
      <c r="J10" s="94"/>
    </row>
    <row r="11" spans="1:10" x14ac:dyDescent="0.3">
      <c r="A11" s="77" t="s">
        <v>29</v>
      </c>
      <c r="B11" s="85">
        <f>B8/B9</f>
        <v>0.55555555555555558</v>
      </c>
      <c r="C11" s="85">
        <f t="shared" ref="C11:D11" si="1">C8/C9</f>
        <v>0.33333333333333331</v>
      </c>
      <c r="D11" s="86">
        <f t="shared" si="1"/>
        <v>9.5238095238095233E-2</v>
      </c>
      <c r="G11" s="83" t="s">
        <v>49</v>
      </c>
      <c r="H11" s="93">
        <f>B4*B22*B21-B3*B23*B20</f>
        <v>1.9145864550732947E-19</v>
      </c>
      <c r="I11" s="93">
        <f t="shared" ref="I11:J11" si="2">C4*C22*C21-C3*C23*C20</f>
        <v>1.2655723763971371E-128</v>
      </c>
      <c r="J11" s="94">
        <f t="shared" si="2"/>
        <v>0</v>
      </c>
    </row>
    <row r="12" spans="1:10" x14ac:dyDescent="0.3">
      <c r="A12" s="29"/>
      <c r="B12" s="93"/>
      <c r="C12" s="93"/>
      <c r="D12" s="94"/>
      <c r="G12" s="83"/>
      <c r="H12" s="93"/>
      <c r="I12" s="93"/>
      <c r="J12" s="94"/>
    </row>
    <row r="13" spans="1:10" x14ac:dyDescent="0.3">
      <c r="A13" s="78" t="s">
        <v>45</v>
      </c>
      <c r="B13" s="97">
        <f>LN(B3/B4)</f>
        <v>0.268793258270418</v>
      </c>
      <c r="C13" s="97">
        <f t="shared" ref="C13:D13" si="3">LN(C3/C4)</f>
        <v>0.69034325322721113</v>
      </c>
      <c r="D13" s="98">
        <f t="shared" si="3"/>
        <v>0.84923170359221589</v>
      </c>
      <c r="G13" s="83" t="s">
        <v>50</v>
      </c>
      <c r="H13" s="93">
        <f>B23*B18</f>
        <v>1</v>
      </c>
      <c r="I13" s="93">
        <f t="shared" ref="I13:J13" si="4">C23*C18</f>
        <v>1</v>
      </c>
      <c r="J13" s="94">
        <f t="shared" si="4"/>
        <v>1</v>
      </c>
    </row>
    <row r="14" spans="1:10" x14ac:dyDescent="0.3">
      <c r="A14" s="78" t="s">
        <v>32</v>
      </c>
      <c r="B14" s="97">
        <f>B5*SQRT(B11)</f>
        <v>3.3422974899794365E-2</v>
      </c>
      <c r="C14" s="97">
        <f t="shared" ref="C14:D14" si="5">C5*SQRT(C11)</f>
        <v>2.9406087659376839E-2</v>
      </c>
      <c r="D14" s="98">
        <f t="shared" si="5"/>
        <v>1.8419017259924376E-2</v>
      </c>
      <c r="G14" s="83"/>
      <c r="H14" s="93"/>
      <c r="I14" s="93"/>
      <c r="J14" s="94"/>
    </row>
    <row r="15" spans="1:10" ht="15" thickBot="1" x14ac:dyDescent="0.35">
      <c r="A15" s="78" t="s">
        <v>34</v>
      </c>
      <c r="B15" s="97">
        <f>(B6-B7+0.5*B5^2)*B11</f>
        <v>2.8336325403353922E-2</v>
      </c>
      <c r="C15" s="97">
        <f t="shared" ref="C15:D15" si="6">(C6-C7+0.5*C5^2)*C11</f>
        <v>1.7099025662382146E-2</v>
      </c>
      <c r="D15" s="98">
        <f t="shared" si="6"/>
        <v>4.9315348603154582E-3</v>
      </c>
      <c r="G15" s="84" t="s">
        <v>51</v>
      </c>
      <c r="H15" s="95">
        <f>B23*(B18-1)</f>
        <v>0</v>
      </c>
      <c r="I15" s="95">
        <f t="shared" ref="I15:J15" si="7">C23*(C18-1)</f>
        <v>0</v>
      </c>
      <c r="J15" s="96">
        <f t="shared" si="7"/>
        <v>0</v>
      </c>
    </row>
    <row r="16" spans="1:10" x14ac:dyDescent="0.3">
      <c r="A16" s="78" t="s">
        <v>35</v>
      </c>
      <c r="B16" s="97">
        <f>(B13+B15)/B14</f>
        <v>8.8899801577985809</v>
      </c>
      <c r="C16" s="97">
        <f t="shared" ref="C16:D16" si="8">(C13+C15)/C14</f>
        <v>24.057681085773691</v>
      </c>
      <c r="D16" s="98">
        <f t="shared" si="8"/>
        <v>46.37398545203591</v>
      </c>
    </row>
    <row r="17" spans="1:4" x14ac:dyDescent="0.3">
      <c r="A17" s="78" t="s">
        <v>36</v>
      </c>
      <c r="B17" s="97">
        <f>B16-B14</f>
        <v>8.8565571828987864</v>
      </c>
      <c r="C17" s="97">
        <f t="shared" ref="C17:D17" si="9">C16-C14</f>
        <v>24.028274998114313</v>
      </c>
      <c r="D17" s="98">
        <f t="shared" si="9"/>
        <v>46.355566434775987</v>
      </c>
    </row>
    <row r="18" spans="1:4" x14ac:dyDescent="0.3">
      <c r="A18" s="78" t="s">
        <v>37</v>
      </c>
      <c r="B18" s="97">
        <f>_xlfn.NORM.S.DIST(B16,1)</f>
        <v>1</v>
      </c>
      <c r="C18" s="97">
        <f t="shared" ref="C18:D18" si="10">_xlfn.NORM.S.DIST(C16,1)</f>
        <v>1</v>
      </c>
      <c r="D18" s="98">
        <f t="shared" si="10"/>
        <v>1</v>
      </c>
    </row>
    <row r="19" spans="1:4" x14ac:dyDescent="0.3">
      <c r="A19" s="78" t="s">
        <v>38</v>
      </c>
      <c r="B19" s="97">
        <f>_xlfn.NORM.S.DIST(B17,1)</f>
        <v>1</v>
      </c>
      <c r="C19" s="97">
        <f t="shared" ref="C19:D19" si="11">_xlfn.NORM.S.DIST(C17,1)</f>
        <v>1</v>
      </c>
      <c r="D19" s="98">
        <f t="shared" si="11"/>
        <v>1</v>
      </c>
    </row>
    <row r="20" spans="1:4" x14ac:dyDescent="0.3">
      <c r="A20" s="78" t="s">
        <v>39</v>
      </c>
      <c r="B20" s="93">
        <f>_xlfn.NORM.S.DIST(-B16,1)</f>
        <v>3.0559911341079136E-19</v>
      </c>
      <c r="C20" s="93">
        <f t="shared" ref="C20:D20" si="12">_xlfn.NORM.S.DIST(-C16,1)</f>
        <v>3.4686623736115541E-128</v>
      </c>
      <c r="D20" s="94">
        <f t="shared" si="12"/>
        <v>0</v>
      </c>
    </row>
    <row r="21" spans="1:4" x14ac:dyDescent="0.3">
      <c r="A21" s="78" t="s">
        <v>40</v>
      </c>
      <c r="B21" s="93">
        <f>_xlfn.NORM.S.DIST(-B17,1)</f>
        <v>4.1261781815286173E-19</v>
      </c>
      <c r="C21" s="93">
        <f t="shared" ref="C21:D21" si="13">_xlfn.NORM.S.DIST(-C17,1)</f>
        <v>7.0427437016012951E-128</v>
      </c>
      <c r="D21" s="94">
        <f t="shared" si="13"/>
        <v>0</v>
      </c>
    </row>
    <row r="22" spans="1:4" x14ac:dyDescent="0.3">
      <c r="A22" s="78" t="s">
        <v>41</v>
      </c>
      <c r="B22" s="93">
        <f>EXP(-B6*B11)</f>
        <v>0.97260447711634834</v>
      </c>
      <c r="C22" s="93">
        <f t="shared" ref="C22:D22" si="14">EXP(-C6*C11)</f>
        <v>0.98347145382161749</v>
      </c>
      <c r="D22" s="94">
        <f t="shared" si="14"/>
        <v>0.99524941513136345</v>
      </c>
    </row>
    <row r="23" spans="1:4" ht="15" thickBot="1" x14ac:dyDescent="0.35">
      <c r="A23" s="80" t="s">
        <v>42</v>
      </c>
      <c r="B23" s="95">
        <f>EXP(B7*B11)</f>
        <v>1</v>
      </c>
      <c r="C23" s="95">
        <f t="shared" ref="C23:D23" si="15">EXP(C7*C11)</f>
        <v>1</v>
      </c>
      <c r="D23" s="96">
        <f t="shared" si="15"/>
        <v>1</v>
      </c>
    </row>
  </sheetData>
  <pageMargins left="0.7" right="0.7" top="0.75" bottom="0.75" header="0.3" footer="0.3"/>
  <customProperties>
    <customPr name="LastActive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190-4B20-4CC4-BFA3-5538B3881BA8}">
  <dimension ref="A1:H23"/>
  <sheetViews>
    <sheetView tabSelected="1" workbookViewId="0">
      <selection activeCell="D14" sqref="D14"/>
    </sheetView>
  </sheetViews>
  <sheetFormatPr defaultRowHeight="14.4" x14ac:dyDescent="0.3"/>
  <cols>
    <col min="1" max="1" width="29.44140625" customWidth="1"/>
    <col min="2" max="2" width="13.6640625" customWidth="1"/>
    <col min="7" max="7" width="27.5546875" customWidth="1"/>
    <col min="10" max="10" width="27.5546875" customWidth="1"/>
    <col min="11" max="11" width="12" bestFit="1" customWidth="1"/>
  </cols>
  <sheetData>
    <row r="1" spans="1:8" ht="15" thickBot="1" x14ac:dyDescent="0.35"/>
    <row r="2" spans="1:8" x14ac:dyDescent="0.3">
      <c r="A2" s="106" t="s">
        <v>56</v>
      </c>
      <c r="B2" s="109" t="s">
        <v>60</v>
      </c>
      <c r="G2" t="s">
        <v>24</v>
      </c>
    </row>
    <row r="3" spans="1:8" x14ac:dyDescent="0.3">
      <c r="A3" s="23" t="s">
        <v>43</v>
      </c>
      <c r="B3" s="110">
        <v>3089.21</v>
      </c>
      <c r="C3" s="13"/>
      <c r="D3" s="13"/>
      <c r="F3" t="s">
        <v>1</v>
      </c>
      <c r="G3">
        <v>5.9684437390534369E-2</v>
      </c>
    </row>
    <row r="4" spans="1:8" x14ac:dyDescent="0.3">
      <c r="A4" s="23" t="s">
        <v>44</v>
      </c>
      <c r="B4" s="111">
        <v>2910</v>
      </c>
      <c r="C4" s="14"/>
      <c r="D4" s="14"/>
    </row>
    <row r="5" spans="1:8" x14ac:dyDescent="0.3">
      <c r="A5" s="23" t="s">
        <v>52</v>
      </c>
      <c r="B5" s="112">
        <v>0.88411813431633557</v>
      </c>
      <c r="C5" s="15"/>
      <c r="D5" s="15"/>
    </row>
    <row r="6" spans="1:8" x14ac:dyDescent="0.3">
      <c r="A6" s="23" t="s">
        <v>33</v>
      </c>
      <c r="B6" s="113">
        <v>0.05</v>
      </c>
      <c r="C6" s="16"/>
      <c r="D6" s="16"/>
    </row>
    <row r="7" spans="1:8" x14ac:dyDescent="0.3">
      <c r="A7" s="23" t="s">
        <v>47</v>
      </c>
      <c r="B7" s="112">
        <v>0</v>
      </c>
      <c r="C7" s="15"/>
      <c r="D7" s="15"/>
    </row>
    <row r="8" spans="1:8" x14ac:dyDescent="0.3">
      <c r="A8" s="107" t="s">
        <v>55</v>
      </c>
      <c r="B8" s="110">
        <v>5</v>
      </c>
      <c r="C8" s="13"/>
      <c r="D8" s="13"/>
    </row>
    <row r="9" spans="1:8" ht="15" thickBot="1" x14ac:dyDescent="0.35">
      <c r="A9" s="108" t="s">
        <v>31</v>
      </c>
      <c r="B9" s="114">
        <v>252</v>
      </c>
      <c r="C9" s="13"/>
      <c r="D9" s="13"/>
    </row>
    <row r="10" spans="1:8" ht="15" thickBot="1" x14ac:dyDescent="0.35">
      <c r="G10" s="25" t="s">
        <v>53</v>
      </c>
      <c r="H10" s="115">
        <f>B3*B23*B18-B4*B22*B19</f>
        <v>257.24999999998568</v>
      </c>
    </row>
    <row r="11" spans="1:8" x14ac:dyDescent="0.3">
      <c r="A11" s="77" t="s">
        <v>29</v>
      </c>
      <c r="B11" s="18">
        <f>B8/B9</f>
        <v>1.984126984126984E-2</v>
      </c>
      <c r="G11" s="26" t="s">
        <v>54</v>
      </c>
      <c r="H11" s="110">
        <v>257.25</v>
      </c>
    </row>
    <row r="12" spans="1:8" x14ac:dyDescent="0.3">
      <c r="A12" s="29"/>
      <c r="B12" s="20"/>
      <c r="G12" s="26" t="s">
        <v>57</v>
      </c>
      <c r="H12" s="110">
        <f>(H10-H11)^2</f>
        <v>2.0519249070143543E-22</v>
      </c>
    </row>
    <row r="13" spans="1:8" x14ac:dyDescent="0.3">
      <c r="A13" s="78" t="s">
        <v>45</v>
      </c>
      <c r="B13" s="79">
        <f>LN(B3/B4)</f>
        <v>5.9762313608365994E-2</v>
      </c>
      <c r="C13" s="6"/>
      <c r="D13" s="6"/>
      <c r="G13" s="26"/>
      <c r="H13" s="110"/>
    </row>
    <row r="14" spans="1:8" ht="15" thickBot="1" x14ac:dyDescent="0.35">
      <c r="A14" s="78" t="s">
        <v>32</v>
      </c>
      <c r="B14" s="79">
        <f>B5*SQRT(B11)</f>
        <v>0.1245360338166815</v>
      </c>
      <c r="C14" s="6"/>
      <c r="D14" s="6"/>
      <c r="G14" s="27" t="s">
        <v>58</v>
      </c>
      <c r="H14" s="114">
        <f>B23*B18</f>
        <v>0.70887933393432545</v>
      </c>
    </row>
    <row r="15" spans="1:8" x14ac:dyDescent="0.3">
      <c r="A15" s="78" t="s">
        <v>34</v>
      </c>
      <c r="B15" s="79">
        <f>(B6-B7+0.5*B5^2)*B11</f>
        <v>8.7466753514583127E-3</v>
      </c>
      <c r="C15" s="6"/>
      <c r="D15" s="6"/>
    </row>
    <row r="16" spans="1:8" x14ac:dyDescent="0.3">
      <c r="A16" s="78" t="s">
        <v>35</v>
      </c>
      <c r="B16" s="79">
        <f>(B13+B15)/B14</f>
        <v>0.55011378522516896</v>
      </c>
      <c r="C16" s="6"/>
      <c r="D16" s="6"/>
    </row>
    <row r="17" spans="1:4" x14ac:dyDescent="0.3">
      <c r="A17" s="78" t="s">
        <v>36</v>
      </c>
      <c r="B17" s="79">
        <f>B16-B14</f>
        <v>0.42557775140848747</v>
      </c>
      <c r="C17" s="6"/>
      <c r="D17" s="6"/>
    </row>
    <row r="18" spans="1:4" x14ac:dyDescent="0.3">
      <c r="A18" s="78" t="s">
        <v>37</v>
      </c>
      <c r="B18" s="79">
        <f>_xlfn.NORM.S.DIST(B16,1)</f>
        <v>0.70887933393432545</v>
      </c>
      <c r="C18" s="6"/>
      <c r="D18" s="6"/>
    </row>
    <row r="19" spans="1:4" x14ac:dyDescent="0.3">
      <c r="A19" s="78" t="s">
        <v>38</v>
      </c>
      <c r="B19" s="79">
        <f>_xlfn.NORM.S.DIST(B17,1)</f>
        <v>0.66479222245725611</v>
      </c>
      <c r="C19" s="6"/>
      <c r="D19" s="6"/>
    </row>
    <row r="20" spans="1:4" x14ac:dyDescent="0.3">
      <c r="A20" s="78" t="s">
        <v>39</v>
      </c>
      <c r="B20" s="20">
        <f>_xlfn.NORM.S.DIST(-B16,1)</f>
        <v>0.29112066606567455</v>
      </c>
    </row>
    <row r="21" spans="1:4" x14ac:dyDescent="0.3">
      <c r="A21" s="78" t="s">
        <v>40</v>
      </c>
      <c r="B21" s="20">
        <f>_xlfn.NORM.S.DIST(-B17,1)</f>
        <v>0.33520777754274389</v>
      </c>
    </row>
    <row r="22" spans="1:4" x14ac:dyDescent="0.3">
      <c r="A22" s="78" t="s">
        <v>41</v>
      </c>
      <c r="B22" s="20">
        <f>EXP(-B6*B11)</f>
        <v>0.99900842844023319</v>
      </c>
    </row>
    <row r="23" spans="1:4" ht="15" thickBot="1" x14ac:dyDescent="0.35">
      <c r="A23" s="80" t="s">
        <v>42</v>
      </c>
      <c r="B23" s="21">
        <f>EXP(B7*B11)</f>
        <v>1</v>
      </c>
    </row>
  </sheetData>
  <pageMargins left="0.7" right="0.7" top="0.75" bottom="0.75" header="0.3" footer="0.3"/>
  <pageSetup orientation="portrait" r:id="rId1"/>
  <customProperties>
    <customPr name="LastActive" r:id="rId2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3_Stocks &amp; Their SD</vt:lpstr>
      <vt:lpstr>Binomial Option Pricing Model</vt:lpstr>
      <vt:lpstr>Black Scholes Model</vt:lpstr>
      <vt:lpstr>Delta &amp; Implied Volatility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manis</dc:creator>
  <cp:lastModifiedBy>manis</cp:lastModifiedBy>
  <dcterms:created xsi:type="dcterms:W3CDTF">2022-04-08T15:53:35Z</dcterms:created>
  <dcterms:modified xsi:type="dcterms:W3CDTF">2022-04-10T23:42:50Z</dcterms:modified>
</cp:coreProperties>
</file>